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timelines/timeline1.xml" ContentType="application/vnd.ms-excel.timelin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4.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mc:AlternateContent xmlns:mc="http://schemas.openxmlformats.org/markup-compatibility/2006">
    <mc:Choice Requires="x15">
      <x15ac:absPath xmlns:x15ac="http://schemas.microsoft.com/office/spreadsheetml/2010/11/ac" url="C:\Users\Steven\Desktop\ACC\Summer 2022\ITSW 1304 Intro to Spreadsheets\Modules 9-12\Capstone\"/>
    </mc:Choice>
  </mc:AlternateContent>
  <xr:revisionPtr revIDLastSave="0" documentId="13_ncr:1_{E7DEA8B0-94E2-47AB-8232-D9E1064FDE59}" xr6:coauthVersionLast="47" xr6:coauthVersionMax="47" xr10:uidLastSave="{00000000-0000-0000-0000-000000000000}"/>
  <bookViews>
    <workbookView xWindow="9780" yWindow="2835" windowWidth="8835" windowHeight="9495" firstSheet="8" activeTab="9" xr2:uid="{00000000-000D-0000-FFFF-FFFF00000000}"/>
  </bookViews>
  <sheets>
    <sheet name="Documentation" sheetId="1" r:id="rId1"/>
    <sheet name="Projects" sheetId="2" r:id="rId2"/>
    <sheet name="Project Stats" sheetId="11" r:id="rId3"/>
    <sheet name="Projects by State" sheetId="3" r:id="rId4"/>
    <sheet name="Project Payments" sheetId="4" r:id="rId5"/>
    <sheet name="Projects by Category" sheetId="10" r:id="rId6"/>
    <sheet name="Monthly Sales" sheetId="5" r:id="rId7"/>
    <sheet name="Employees" sheetId="6" r:id="rId8"/>
    <sheet name="Expansion Loan" sheetId="7" r:id="rId9"/>
    <sheet name="Investments &amp; Projections" sheetId="9" r:id="rId10"/>
    <sheet name="Monthly Revenue Projections" sheetId="8" state="hidden" r:id="rId11"/>
  </sheets>
  <externalReferences>
    <externalReference r:id="rId12"/>
    <externalReference r:id="rId13"/>
  </externalReferences>
  <definedNames>
    <definedName name="__IntlFixup" hidden="1">TRUE</definedName>
    <definedName name="__IntlFixupTable" hidden="1">#REF!</definedName>
    <definedName name="_Order1" hidden="1">0</definedName>
    <definedName name="AA.Report.Files" hidden="1">#REF!</definedName>
    <definedName name="AA.Reports.Available" hidden="1">#REF!</definedName>
    <definedName name="Address">[1]Survey!$D$6</definedName>
    <definedName name="CA_RunWalk">'[2]Local Offices'!$D$12</definedName>
    <definedName name="Chicago_promotions">'[1]Trade Shows'!$B$9</definedName>
    <definedName name="Data.Dump" hidden="1">OFFSET([0]!Data.Top.Left,1,0)</definedName>
    <definedName name="Database.File" hidden="1">#REF!</definedName>
    <definedName name="Email">[1]Survey!$G$8</definedName>
    <definedName name="ExternalData_1" localSheetId="6" hidden="1">'Monthly Sales'!$A$3:$C$15</definedName>
    <definedName name="File.Type" hidden="1">#REF!</definedName>
    <definedName name="File.Type2" hidden="1">#REF!</definedName>
    <definedName name="First_Name">[1]Survey!$D$5</definedName>
    <definedName name="HTML_CodePage" hidden="1">1252</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Title" hidden="1">"leverage"</definedName>
    <definedName name="Las_Vegas_promotions">'[1]Trade Shows'!$C$9</definedName>
    <definedName name="Last_Name">[1]Survey!$D$4</definedName>
    <definedName name="NativeTimeline_Project_Start">#N/A</definedName>
    <definedName name="OR_Run">'[2]Local Offices'!$D$18</definedName>
    <definedName name="Orlando_promotions">'[1]Trade Shows'!$D$9</definedName>
    <definedName name="Ownership" hidden="1">OFFSET([0]!Data.Top.Left,1,0)</definedName>
    <definedName name="Phone">[1]Survey!$D$8</definedName>
    <definedName name="Postal_Code">[1]Survey!$I$7</definedName>
    <definedName name="Price_per_unit">'[1]Income Analysis'!$B$6</definedName>
    <definedName name="s" hidden="1">#REF!</definedName>
    <definedName name="Show.Acct.Update.Warning" hidden="1">#REF!</definedName>
    <definedName name="Show.MDB.Update.Warning" hidden="1">#REF!</definedName>
    <definedName name="Slicer_State">#N/A</definedName>
    <definedName name="Sources">[1]Survey!$A$26:$A$31</definedName>
    <definedName name="State">[1]Survey!$G$7</definedName>
    <definedName name="Units_sold">'[1]Income Analysis'!$B$5</definedName>
  </definedNames>
  <calcPr calcId="191029" iterate="1"/>
  <pivotCaches>
    <pivotCache cacheId="0" r:id="rId14"/>
    <pivotCache cacheId="1" r:id="rId15"/>
    <pivotCache cacheId="2"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8"/>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mployees_61c71ab6-38d6-4570-8f02-4fa2552c6c5c" name="Employees" connection="Query - Employees"/>
          <x15:modelTable id="Offices_8771bf2e-d41d-4b1a-8cf6-b860a7c558a6" name="Offices" connection="Query - Offices"/>
        </x15:modelTables>
        <x15:modelRelationships>
          <x15:modelRelationship fromTable="Employees" fromColumn="OfficeID" toTable="Offices" toColumn="Office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9" l="1"/>
  <c r="B19" i="9" s="1"/>
  <c r="B35" i="7"/>
  <c r="B34" i="7"/>
  <c r="B20" i="9"/>
  <c r="C29" i="7"/>
  <c r="D29" i="7"/>
  <c r="E29" i="7"/>
  <c r="F29" i="7"/>
  <c r="G29" i="7"/>
  <c r="H29" i="7"/>
  <c r="I29" i="7"/>
  <c r="J29" i="7"/>
  <c r="K29" i="7"/>
  <c r="B29" i="7"/>
  <c r="D23" i="7"/>
  <c r="E23" i="7"/>
  <c r="F23" i="7"/>
  <c r="G23" i="7"/>
  <c r="H23" i="7"/>
  <c r="I23" i="7"/>
  <c r="J23" i="7"/>
  <c r="K23" i="7"/>
  <c r="C23" i="7"/>
  <c r="B23" i="7"/>
  <c r="C17" i="7"/>
  <c r="D17" i="7"/>
  <c r="E17" i="7"/>
  <c r="F17" i="7"/>
  <c r="G17" i="7"/>
  <c r="H17" i="7"/>
  <c r="I17" i="7"/>
  <c r="J17" i="7"/>
  <c r="K17" i="7"/>
  <c r="B17" i="7"/>
  <c r="D16" i="7"/>
  <c r="E16" i="7"/>
  <c r="F16" i="7"/>
  <c r="G16" i="7"/>
  <c r="H16" i="7"/>
  <c r="I16" i="7"/>
  <c r="J16" i="7"/>
  <c r="K16" i="7"/>
  <c r="C16" i="7"/>
  <c r="B16" i="7"/>
  <c r="L5" i="2"/>
  <c r="L6" i="2"/>
  <c r="L7" i="2"/>
  <c r="K5" i="2"/>
  <c r="K6" i="2"/>
  <c r="K7" i="2"/>
  <c r="J5" i="2"/>
  <c r="J6" i="2"/>
  <c r="J7" i="2"/>
  <c r="L4" i="2"/>
  <c r="K4" i="2"/>
  <c r="J4" i="2"/>
  <c r="B13" i="11"/>
  <c r="B9" i="11"/>
  <c r="J15" i="2"/>
  <c r="J11" i="2"/>
  <c r="J22" i="2"/>
  <c r="J21" i="2"/>
  <c r="J20" i="2"/>
  <c r="J19" i="2"/>
  <c r="J18" i="2"/>
  <c r="L16" i="7" l="1"/>
  <c r="C6" i="9"/>
  <c r="C7" i="9" s="1"/>
  <c r="C8" i="9" s="1"/>
  <c r="C9" i="9" s="1"/>
  <c r="C10" i="9" s="1"/>
  <c r="C11" i="9" s="1"/>
  <c r="C12" i="9" s="1"/>
  <c r="C13" i="9" s="1"/>
  <c r="C14" i="9" s="1"/>
  <c r="B30" i="7" l="1"/>
  <c r="B24" i="7"/>
  <c r="B25" i="7" s="1"/>
  <c r="G4" i="7"/>
  <c r="C24" i="7" l="1"/>
  <c r="D24" i="7" s="1"/>
  <c r="E24" i="7" s="1"/>
  <c r="C25" i="7"/>
  <c r="B31" i="7"/>
  <c r="C30" i="7"/>
  <c r="D25" i="7" l="1"/>
  <c r="F24" i="7"/>
  <c r="E25" i="7"/>
  <c r="C31" i="7"/>
  <c r="D30" i="7"/>
  <c r="G24" i="7" l="1"/>
  <c r="F25" i="7"/>
  <c r="E30" i="7"/>
  <c r="D31" i="7"/>
  <c r="H24" i="7" l="1"/>
  <c r="G25" i="7"/>
  <c r="E31" i="7"/>
  <c r="F30" i="7"/>
  <c r="I24" i="7" l="1"/>
  <c r="H25" i="7"/>
  <c r="F31" i="7"/>
  <c r="G30" i="7"/>
  <c r="J24" i="7" l="1"/>
  <c r="I25" i="7"/>
  <c r="G31" i="7"/>
  <c r="H30" i="7"/>
  <c r="K24" i="7" l="1"/>
  <c r="K25" i="7" s="1"/>
  <c r="J25" i="7"/>
  <c r="I30" i="7"/>
  <c r="H31" i="7"/>
  <c r="I31" i="7" l="1"/>
  <c r="J30" i="7"/>
  <c r="J31" i="7" l="1"/>
  <c r="K30" i="7"/>
  <c r="K31" i="7" s="1"/>
  <c r="B18" i="7"/>
  <c r="B19" i="7" s="1"/>
  <c r="L17" i="7"/>
  <c r="C8" i="7"/>
  <c r="C6" i="7"/>
  <c r="C9" i="7" s="1"/>
  <c r="C18" i="7" l="1"/>
  <c r="C19" i="7" s="1"/>
  <c r="D18" i="7" l="1"/>
  <c r="D19" i="7" s="1"/>
  <c r="E18" i="7" l="1"/>
  <c r="E19" i="7" s="1"/>
  <c r="F18" i="7" l="1"/>
  <c r="F19" i="7" s="1"/>
  <c r="G18" i="7" l="1"/>
  <c r="G19" i="7" s="1"/>
  <c r="H18" i="7" l="1"/>
  <c r="H19" i="7" s="1"/>
  <c r="I18" i="7" l="1"/>
  <c r="I19" i="7" s="1"/>
  <c r="J18" i="7" l="1"/>
  <c r="J19" i="7" s="1"/>
  <c r="K18" i="7" l="1"/>
  <c r="K19"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B4F2E4-2BBB-47FF-A454-3F8A7A0AE0EB}" name="Query - Employees" description="Connection to the 'Employees' query in the workbook." type="100" refreshedVersion="8" minRefreshableVersion="5">
    <extLst>
      <ext xmlns:x15="http://schemas.microsoft.com/office/spreadsheetml/2010/11/main" uri="{DE250136-89BD-433C-8126-D09CA5730AF9}">
        <x15:connection id="dcd8d103-7d28-4b9c-b800-0d40ef09230b"/>
      </ext>
    </extLst>
  </connection>
  <connection id="2" xr16:uid="{40BD516F-44C6-4CA1-8E76-317BF58ACE23}" name="Query - Offices" description="Connection to the 'Offices' query in the workbook." type="100" refreshedVersion="8" minRefreshableVersion="5">
    <extLst>
      <ext xmlns:x15="http://schemas.microsoft.com/office/spreadsheetml/2010/11/main" uri="{DE250136-89BD-433C-8126-D09CA5730AF9}">
        <x15:connection id="68c165d2-a65d-4b28-8936-e7b52b552768"/>
      </ext>
    </extLst>
  </connection>
  <connection id="3" xr16:uid="{7E57B2AD-B7C1-43B2-8838-4C62763CE568}" keepAlive="1" name="Query - Support_EX19_CT_CS9-12c_Sales" description="Connection to the 'Support_EX19_CT_CS9-12c_Sales' query in the workbook." type="5" refreshedVersion="8" background="1" saveData="1">
    <dbPr connection="Provider=Microsoft.Mashup.OleDb.1;Data Source=$Workbook$;Location=Support_EX19_CT_CS9-12c_Sales;Extended Properties=&quot;&quot;" command="SELECT * FROM [Support_EX19_CT_CS9-12c_Sales]"/>
  </connection>
  <connection id="4" xr16:uid="{71E9DC19-359D-46DB-8430-4DF469318BA4}"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<sst xmlns="http://schemas.openxmlformats.org/spreadsheetml/2006/main" count="338" uniqueCount="153">
  <si>
    <t>Author:</t>
  </si>
  <si>
    <t>Steven Haynes</t>
  </si>
  <si>
    <t>Note: Do not edit this sheet. If your name does not appear in cell B6, please download a new copy of the file from the SAM website.</t>
  </si>
  <si>
    <t>W&amp;K Engineering</t>
  </si>
  <si>
    <t>ANALYZE DATA AND WORK WITH FINANCIAL TOOLS</t>
  </si>
  <si>
    <t>Client ID</t>
  </si>
  <si>
    <t>Project Type</t>
  </si>
  <si>
    <t>Category</t>
  </si>
  <si>
    <t>State</t>
  </si>
  <si>
    <t>Project Start</t>
  </si>
  <si>
    <t>Estimate</t>
  </si>
  <si>
    <t>Paid to Date</t>
  </si>
  <si>
    <t>W-0132</t>
  </si>
  <si>
    <t>Highway grading</t>
  </si>
  <si>
    <t>Paving</t>
  </si>
  <si>
    <t>MT</t>
  </si>
  <si>
    <t>W-0277</t>
  </si>
  <si>
    <t>Grade crossing</t>
  </si>
  <si>
    <t>Bridge</t>
  </si>
  <si>
    <t>WY</t>
  </si>
  <si>
    <t>W-0185</t>
  </si>
  <si>
    <t>Cold planing</t>
  </si>
  <si>
    <t>ND</t>
  </si>
  <si>
    <t>W-0284</t>
  </si>
  <si>
    <t>Median strip</t>
  </si>
  <si>
    <t>Highway</t>
  </si>
  <si>
    <t>SD</t>
  </si>
  <si>
    <t>W-0290</t>
  </si>
  <si>
    <t>Erosion control</t>
  </si>
  <si>
    <t>Site development</t>
  </si>
  <si>
    <t>NE</t>
  </si>
  <si>
    <t>Hydraulic fill</t>
  </si>
  <si>
    <t>Patching</t>
  </si>
  <si>
    <t>Abutments</t>
  </si>
  <si>
    <t>W-0322</t>
  </si>
  <si>
    <t>Off-road rest area</t>
  </si>
  <si>
    <t>W-0327</t>
  </si>
  <si>
    <t>W-0332</t>
  </si>
  <si>
    <t>Ramps</t>
  </si>
  <si>
    <t>W-0338</t>
  </si>
  <si>
    <t>Attenuators</t>
  </si>
  <si>
    <t>W-0341</t>
  </si>
  <si>
    <t>Signage</t>
  </si>
  <si>
    <t>W-0344</t>
  </si>
  <si>
    <t>Noise abatement</t>
  </si>
  <si>
    <t>Grade separation</t>
  </si>
  <si>
    <t>Curbing</t>
  </si>
  <si>
    <t>W-0358</t>
  </si>
  <si>
    <t>Shoulders</t>
  </si>
  <si>
    <t>W-0360</t>
  </si>
  <si>
    <t>Resurfacing</t>
  </si>
  <si>
    <t>W-0364</t>
  </si>
  <si>
    <t>Seal coating</t>
  </si>
  <si>
    <t>Grading</t>
  </si>
  <si>
    <t>W-0379</t>
  </si>
  <si>
    <t>Road surfacing</t>
  </si>
  <si>
    <t>W-0410</t>
  </si>
  <si>
    <t>Pavement grooving</t>
  </si>
  <si>
    <t>Projects</t>
  </si>
  <si>
    <t>Total Estimates</t>
  </si>
  <si>
    <t>Avg Estimates</t>
  </si>
  <si>
    <t>&gt;50,000</t>
  </si>
  <si>
    <t>Projects:</t>
  </si>
  <si>
    <t>Total paid:</t>
  </si>
  <si>
    <t>Projects by State</t>
  </si>
  <si>
    <t>Site enhancement</t>
  </si>
  <si>
    <t>Grand Total</t>
  </si>
  <si>
    <t>Estimates</t>
  </si>
  <si>
    <t>Estimate Total</t>
  </si>
  <si>
    <t>Total Paid to Date</t>
  </si>
  <si>
    <t>Loan amount (pv)</t>
  </si>
  <si>
    <t>Annual interest rate</t>
  </si>
  <si>
    <t>Monthly interest rate (rate)</t>
  </si>
  <si>
    <t>Loan period in years</t>
  </si>
  <si>
    <t>Loan period in months (nper)</t>
  </si>
  <si>
    <t>Monthly payment</t>
  </si>
  <si>
    <t>Start date of loan</t>
  </si>
  <si>
    <t>Annual Principal and Cumulative Interest Payments</t>
  </si>
  <si>
    <t>Year 1</t>
  </si>
  <si>
    <t>Year 2</t>
  </si>
  <si>
    <t>Year 3</t>
  </si>
  <si>
    <t>Year 4</t>
  </si>
  <si>
    <t>Year 5</t>
  </si>
  <si>
    <t>Year 6</t>
  </si>
  <si>
    <t>Year 7</t>
  </si>
  <si>
    <t>Year 8</t>
  </si>
  <si>
    <t>Year 9</t>
  </si>
  <si>
    <t>Year 10</t>
  </si>
  <si>
    <t>Interest</t>
  </si>
  <si>
    <t>Principal</t>
  </si>
  <si>
    <t>Principal remaining</t>
  </si>
  <si>
    <t>Remaining %</t>
  </si>
  <si>
    <t>Total</t>
  </si>
  <si>
    <t>Months</t>
  </si>
  <si>
    <t>Depreciation Conditions</t>
  </si>
  <si>
    <t>Loan Conditions</t>
  </si>
  <si>
    <t>Amounts</t>
  </si>
  <si>
    <t>Long-term assets (cost)</t>
  </si>
  <si>
    <t>Salvage value (salvage)</t>
  </si>
  <si>
    <t>Life of asset (life)</t>
  </si>
  <si>
    <t>Straight-Line Depreciation</t>
  </si>
  <si>
    <t>Years</t>
  </si>
  <si>
    <t>Annual depreciation</t>
  </si>
  <si>
    <t>Cumulative depreciation</t>
  </si>
  <si>
    <t>Depreciated asset value</t>
  </si>
  <si>
    <t>Declining Balance Depreciation</t>
  </si>
  <si>
    <t>Yearly Depreciation</t>
  </si>
  <si>
    <t>Allowance for the first year:</t>
  </si>
  <si>
    <t>Allowance for the last year:</t>
  </si>
  <si>
    <t>Revenue</t>
  </si>
  <si>
    <t>Month</t>
  </si>
  <si>
    <t>Repayment Schedule</t>
  </si>
  <si>
    <t>Payments</t>
  </si>
  <si>
    <t>Net Cash Flow</t>
  </si>
  <si>
    <t>Target rate of return</t>
  </si>
  <si>
    <t>Present value</t>
  </si>
  <si>
    <t>Net present value</t>
  </si>
  <si>
    <t>Internal rate of return</t>
  </si>
  <si>
    <t>Investment Returns</t>
  </si>
  <si>
    <t>Date</t>
  </si>
  <si>
    <t>Client</t>
  </si>
  <si>
    <t>Row Labels</t>
  </si>
  <si>
    <t>Sum of Estimate</t>
  </si>
  <si>
    <r>
      <rPr>
        <b/>
        <sz val="10"/>
        <color theme="0"/>
        <rFont val="Century Gothic"/>
        <family val="2"/>
      </rPr>
      <t>New Perspectives Excel 2019</t>
    </r>
    <r>
      <rPr>
        <sz val="10"/>
        <color theme="0"/>
        <rFont val="Century Gothic"/>
        <family val="2"/>
      </rPr>
      <t xml:space="preserve"> | Modules 9-12: SAM Critical Thinking Capstone Project 1c</t>
    </r>
  </si>
  <si>
    <t>Mar</t>
  </si>
  <si>
    <t>Apr</t>
  </si>
  <si>
    <t>May</t>
  </si>
  <si>
    <t>Jun</t>
  </si>
  <si>
    <t>Jan</t>
  </si>
  <si>
    <t>Feb</t>
  </si>
  <si>
    <t>Amount Owed</t>
  </si>
  <si>
    <t>% Owed</t>
  </si>
  <si>
    <t>Column Labels</t>
  </si>
  <si>
    <t>Fiscal Year Order</t>
  </si>
  <si>
    <t>Sales ($mil)</t>
  </si>
  <si>
    <t>March</t>
  </si>
  <si>
    <t>April</t>
  </si>
  <si>
    <t>June</t>
  </si>
  <si>
    <t>July</t>
  </si>
  <si>
    <t>August</t>
  </si>
  <si>
    <t>September</t>
  </si>
  <si>
    <t>October</t>
  </si>
  <si>
    <t>November</t>
  </si>
  <si>
    <t>December</t>
  </si>
  <si>
    <t>January</t>
  </si>
  <si>
    <t>February</t>
  </si>
  <si>
    <t>Bismarck</t>
  </si>
  <si>
    <t>Omaha</t>
  </si>
  <si>
    <t>Missoula</t>
  </si>
  <si>
    <t>Sioux Falls</t>
  </si>
  <si>
    <t>Cheyenne</t>
  </si>
  <si>
    <t>Count of Title</t>
  </si>
  <si>
    <t>Average of YearsEmployed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</si>
</sst>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8" formatCode="&quot;$&quot;#,##0.00_);[Red]\(&quot;$&quot;#,##0.00\)"/>
    <numFmt numFmtId="43" formatCode="_(* #,##0.00_);_(* \(#,##0.00\);_(* &quot;-&quot;??_);_(@_)"/>
    <numFmt numFmtId="164" formatCode="&quot;$&quot;#,##0"/>
    <numFmt numFmtId="165" formatCode="&quot;$&quot;#,##0.00"/>
    <numFmt numFmtId="166" formatCode="_(* #,##0_);_(* \(#,##0\);_(* &quot;-&quot;??_);_(@_)"/>
    <numFmt numFmtId="167" formatCode="mmm\ yyyy"/>
    <numFmt numFmtId="168" formatCode="0.0"/>
  </numFmts>
  <fonts count="18" x14ac:knownFonts="1">
    <font>
      <sz val="11"/>
      <color theme="1"/>
      <name val="Garamond"/>
      <family val="2"/>
      <scheme val="minor"/>
    </font>
    <font>
      <sz val="18"/>
      <color theme="3"/>
      <name val="Garamond"/>
      <family val="2"/>
      <scheme val="major"/>
    </font>
    <font>
      <sz val="10"/>
      <name val="Arial"/>
      <family val="2"/>
    </font>
    <font>
      <sz val="10"/>
      <color theme="0"/>
      <name val="Century Gothic"/>
      <family val="2"/>
    </font>
    <font>
      <b/>
      <sz val="10"/>
      <color theme="0"/>
      <name val="Century Gothic"/>
      <family val="2"/>
    </font>
    <font>
      <sz val="10"/>
      <name val="Century Gothic"/>
      <family val="2"/>
    </font>
    <font>
      <sz val="28"/>
      <color rgb="FF0070C0"/>
      <name val="Century Gothic"/>
      <family val="2"/>
    </font>
    <font>
      <sz val="10"/>
      <color rgb="FF0070C0"/>
      <name val="Century Gothic"/>
      <family val="2"/>
    </font>
    <font>
      <sz val="11"/>
      <color rgb="FF000000"/>
      <name val="Century Gothic"/>
      <family val="2"/>
    </font>
    <font>
      <sz val="11"/>
      <color rgb="FF4B4C4C"/>
      <name val="Century Gothic"/>
      <family val="2"/>
    </font>
    <font>
      <i/>
      <sz val="10"/>
      <color rgb="FFCC6600"/>
      <name val="Century Gothic"/>
      <family val="2"/>
    </font>
    <font>
      <i/>
      <sz val="10"/>
      <name val="Century Gothic"/>
      <family val="2"/>
    </font>
    <font>
      <b/>
      <sz val="11"/>
      <color theme="0"/>
      <name val="Garamond"/>
      <family val="2"/>
      <scheme val="minor"/>
    </font>
    <font>
      <sz val="11"/>
      <color theme="1"/>
      <name val="Garamond"/>
      <family val="2"/>
      <scheme val="minor"/>
    </font>
    <font>
      <b/>
      <sz val="11"/>
      <color theme="1"/>
      <name val="Garamond"/>
      <family val="1"/>
      <scheme val="minor"/>
    </font>
    <font>
      <sz val="10"/>
      <color theme="1" tint="0.14996795556505021"/>
      <name val="Garamond"/>
      <family val="2"/>
      <scheme val="minor"/>
    </font>
    <font>
      <sz val="10"/>
      <color rgb="FF242729"/>
      <name val="Consolas"/>
      <family val="3"/>
    </font>
    <font>
      <sz val="11"/>
      <color rgb="FF000000"/>
      <name val="Garamond"/>
      <family val="1"/>
    </font>
  </fonts>
  <fills count="9">
    <fill>
      <patternFill patternType="none"/>
    </fill>
    <fill>
      <patternFill patternType="gray125"/>
    </fill>
    <fill>
      <patternFill patternType="solid">
        <fgColor rgb="FFE34601"/>
        <bgColor indexed="64"/>
      </patternFill>
    </fill>
    <fill>
      <patternFill patternType="solid">
        <fgColor theme="0"/>
        <bgColor indexed="64"/>
      </patternFill>
    </fill>
    <fill>
      <patternFill patternType="solid">
        <fgColor theme="0"/>
        <bgColor theme="0"/>
      </patternFill>
    </fill>
    <fill>
      <patternFill patternType="solid">
        <fgColor theme="4" tint="0.39997558519241921"/>
        <bgColor indexed="64"/>
      </patternFill>
    </fill>
    <fill>
      <patternFill patternType="solid">
        <fgColor theme="4"/>
        <bgColor theme="4"/>
      </patternFill>
    </fill>
    <fill>
      <patternFill patternType="solid">
        <fgColor theme="0" tint="-0.14999847407452621"/>
        <bgColor theme="0" tint="-0.14999847407452621"/>
      </patternFill>
    </fill>
    <fill>
      <patternFill patternType="solid">
        <fgColor theme="0" tint="-0.14999847407452621"/>
        <bgColor indexed="64"/>
      </patternFill>
    </fill>
  </fills>
  <borders count="29">
    <border>
      <left/>
      <right/>
      <top/>
      <bottom/>
      <diagonal/>
    </border>
    <border>
      <left/>
      <right/>
      <top/>
      <bottom style="thin">
        <color rgb="FFE34601"/>
      </bottom>
      <diagonal/>
    </border>
    <border>
      <left/>
      <right style="thick">
        <color rgb="FF93A5B2"/>
      </right>
      <top/>
      <bottom style="thin">
        <color rgb="FFE34601"/>
      </bottom>
      <diagonal/>
    </border>
    <border>
      <left/>
      <right style="thick">
        <color rgb="FF93A5B2"/>
      </right>
      <top/>
      <bottom/>
      <diagonal/>
    </border>
    <border>
      <left/>
      <right/>
      <top/>
      <bottom style="thin">
        <color rgb="FF93A5B2"/>
      </bottom>
      <diagonal/>
    </border>
    <border>
      <left/>
      <right/>
      <top/>
      <bottom style="thick">
        <color rgb="FF93A5B2"/>
      </bottom>
      <diagonal/>
    </border>
    <border>
      <left/>
      <right style="thick">
        <color rgb="FF93A5B2"/>
      </right>
      <top/>
      <bottom style="thick">
        <color rgb="FF93A5B2"/>
      </bottom>
      <diagonal/>
    </border>
    <border>
      <left/>
      <right/>
      <top style="medium">
        <color theme="1"/>
      </top>
      <bottom style="medium">
        <color theme="1"/>
      </bottom>
      <diagonal/>
    </border>
    <border>
      <left/>
      <right/>
      <top/>
      <bottom style="medium">
        <color theme="1"/>
      </bottom>
      <diagonal/>
    </border>
    <border>
      <left style="thin">
        <color theme="1" tint="0.499984740745262"/>
      </left>
      <right/>
      <top style="medium">
        <color theme="1"/>
      </top>
      <bottom/>
      <diagonal/>
    </border>
    <border>
      <left/>
      <right/>
      <top style="medium">
        <color theme="1"/>
      </top>
      <bottom/>
      <diagonal/>
    </border>
    <border>
      <left/>
      <right style="thin">
        <color theme="1" tint="0.499984740745262"/>
      </right>
      <top style="medium">
        <color theme="1"/>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medium">
        <color theme="1"/>
      </top>
      <bottom style="thin">
        <color theme="1" tint="0.499984740745262"/>
      </bottom>
      <diagonal/>
    </border>
    <border>
      <left/>
      <right/>
      <top style="medium">
        <color theme="1"/>
      </top>
      <bottom style="thin">
        <color theme="1" tint="0.499984740745262"/>
      </bottom>
      <diagonal/>
    </border>
    <border>
      <left/>
      <right style="thin">
        <color theme="1" tint="0.499984740745262"/>
      </right>
      <top style="medium">
        <color theme="1"/>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style="medium">
        <color theme="1"/>
      </top>
      <bottom style="medium">
        <color theme="1"/>
      </bottom>
      <diagonal/>
    </border>
    <border>
      <left style="thin">
        <color theme="1" tint="0.499984740745262"/>
      </left>
      <right/>
      <top style="medium">
        <color theme="1"/>
      </top>
      <bottom style="medium">
        <color theme="1"/>
      </bottom>
      <diagonal/>
    </border>
  </borders>
  <cellStyleXfs count="8">
    <xf numFmtId="0" fontId="0" fillId="0" borderId="0"/>
    <xf numFmtId="0" fontId="1" fillId="0" borderId="0" applyNumberFormat="0" applyFill="0" applyBorder="0" applyAlignment="0" applyProtection="0"/>
    <xf numFmtId="0" fontId="2" fillId="0" borderId="0"/>
    <xf numFmtId="0" fontId="6" fillId="3" borderId="0">
      <alignment vertical="top" wrapText="1"/>
    </xf>
    <xf numFmtId="0" fontId="8" fillId="3" borderId="0">
      <alignment vertical="top" wrapText="1"/>
    </xf>
    <xf numFmtId="9" fontId="13" fillId="0" borderId="0" applyFont="0" applyFill="0" applyBorder="0" applyAlignment="0" applyProtection="0"/>
    <xf numFmtId="43" fontId="13" fillId="0" borderId="0" applyFont="0" applyFill="0" applyBorder="0" applyAlignment="0" applyProtection="0"/>
    <xf numFmtId="0" fontId="15" fillId="0" borderId="0"/>
  </cellStyleXfs>
  <cellXfs count="128">
    <xf numFmtId="0" fontId="0" fillId="0" borderId="0" xfId="0"/>
    <xf numFmtId="0" fontId="3" fillId="2" borderId="1" xfId="2" applyFont="1" applyFill="1" applyBorder="1" applyAlignment="1">
      <alignment vertical="center"/>
    </xf>
    <xf numFmtId="0" fontId="5" fillId="2" borderId="2" xfId="2" applyFont="1" applyFill="1" applyBorder="1" applyAlignment="1">
      <alignment horizontal="left"/>
    </xf>
    <xf numFmtId="0" fontId="2" fillId="0" borderId="0" xfId="2" applyFill="1"/>
    <xf numFmtId="0" fontId="5" fillId="0" borderId="0" xfId="2" applyFont="1" applyFill="1" applyBorder="1" applyAlignment="1">
      <alignment vertical="center"/>
    </xf>
    <xf numFmtId="0" fontId="5" fillId="3" borderId="3" xfId="2" applyFont="1" applyFill="1" applyBorder="1" applyAlignment="1">
      <alignment horizontal="left"/>
    </xf>
    <xf numFmtId="0" fontId="5" fillId="3" borderId="0" xfId="2" applyFont="1" applyFill="1" applyBorder="1" applyAlignment="1">
      <alignment horizontal="left"/>
    </xf>
    <xf numFmtId="0" fontId="6" fillId="3" borderId="0" xfId="3" applyBorder="1" applyAlignment="1">
      <alignment horizontal="left" vertical="top" wrapText="1"/>
    </xf>
    <xf numFmtId="0" fontId="7" fillId="3" borderId="3" xfId="2" applyFont="1" applyFill="1" applyBorder="1" applyAlignment="1">
      <alignment horizontal="left" wrapText="1"/>
    </xf>
    <xf numFmtId="0" fontId="2" fillId="0" borderId="0" xfId="2" applyFill="1" applyAlignment="1">
      <alignment wrapText="1"/>
    </xf>
    <xf numFmtId="0" fontId="9" fillId="3" borderId="0" xfId="4" applyFont="1" applyBorder="1" applyAlignment="1">
      <alignment horizontal="left" vertical="top" wrapText="1"/>
    </xf>
    <xf numFmtId="0" fontId="5" fillId="3" borderId="0" xfId="2" applyFont="1" applyFill="1" applyBorder="1" applyAlignment="1">
      <alignment horizontal="right"/>
    </xf>
    <xf numFmtId="0" fontId="10" fillId="4" borderId="4" xfId="2" applyFont="1" applyFill="1" applyBorder="1" applyAlignment="1">
      <alignment horizontal="left"/>
    </xf>
    <xf numFmtId="0" fontId="0" fillId="0" borderId="0" xfId="0" applyAlignment="1">
      <alignment horizontal="center"/>
    </xf>
    <xf numFmtId="14" fontId="0" fillId="0" borderId="0" xfId="0" applyNumberFormat="1"/>
    <xf numFmtId="164" fontId="0" fillId="0" borderId="0" xfId="0" applyNumberFormat="1"/>
    <xf numFmtId="0" fontId="12" fillId="6" borderId="7" xfId="0" applyFont="1" applyFill="1" applyBorder="1" applyAlignment="1">
      <alignment horizontal="center"/>
    </xf>
    <xf numFmtId="0" fontId="0" fillId="7" borderId="9" xfId="0" applyFont="1" applyFill="1" applyBorder="1"/>
    <xf numFmtId="0" fontId="0" fillId="7" borderId="10" xfId="0" applyFont="1" applyFill="1" applyBorder="1" applyAlignment="1">
      <alignment horizontal="center"/>
    </xf>
    <xf numFmtId="164" fontId="0" fillId="7" borderId="10" xfId="0" applyNumberFormat="1" applyFont="1" applyFill="1" applyBorder="1"/>
    <xf numFmtId="164" fontId="0" fillId="7" borderId="11" xfId="0" applyNumberFormat="1" applyFont="1" applyFill="1" applyBorder="1"/>
    <xf numFmtId="0" fontId="0" fillId="0" borderId="12" xfId="0" applyBorder="1"/>
    <xf numFmtId="0" fontId="0" fillId="0" borderId="0" xfId="0" applyBorder="1"/>
    <xf numFmtId="164" fontId="0" fillId="0" borderId="0" xfId="0" applyNumberFormat="1" applyFont="1" applyBorder="1"/>
    <xf numFmtId="164" fontId="0" fillId="0" borderId="13" xfId="0" applyNumberFormat="1" applyFont="1" applyBorder="1"/>
    <xf numFmtId="0" fontId="0" fillId="7" borderId="12" xfId="0" applyFont="1" applyFill="1" applyBorder="1"/>
    <xf numFmtId="0" fontId="0" fillId="7" borderId="0" xfId="0" applyFont="1" applyFill="1" applyBorder="1" applyAlignment="1">
      <alignment horizontal="center"/>
    </xf>
    <xf numFmtId="164" fontId="0" fillId="7" borderId="0" xfId="0" applyNumberFormat="1" applyFont="1" applyFill="1" applyBorder="1"/>
    <xf numFmtId="164" fontId="0" fillId="7" borderId="13" xfId="0" applyNumberFormat="1" applyFont="1" applyFill="1" applyBorder="1"/>
    <xf numFmtId="0" fontId="0" fillId="0" borderId="14" xfId="0" applyBorder="1"/>
    <xf numFmtId="164" fontId="0" fillId="0" borderId="15" xfId="0" applyNumberFormat="1" applyFont="1" applyBorder="1"/>
    <xf numFmtId="164" fontId="0" fillId="0" borderId="16" xfId="0" applyNumberFormat="1" applyFont="1" applyBorder="1"/>
    <xf numFmtId="0" fontId="0" fillId="5" borderId="0" xfId="0" applyFill="1"/>
    <xf numFmtId="0" fontId="12" fillId="6" borderId="10" xfId="0" applyFont="1" applyFill="1" applyBorder="1" applyAlignment="1">
      <alignment horizontal="left"/>
    </xf>
    <xf numFmtId="0" fontId="12" fillId="6" borderId="10" xfId="0" applyFont="1" applyFill="1" applyBorder="1" applyAlignment="1">
      <alignment horizontal="center"/>
    </xf>
    <xf numFmtId="0" fontId="12" fillId="6" borderId="8" xfId="0" applyFont="1" applyFill="1" applyBorder="1" applyAlignment="1">
      <alignment horizontal="left"/>
    </xf>
    <xf numFmtId="0" fontId="12" fillId="6" borderId="8" xfId="0" applyFont="1" applyFill="1" applyBorder="1" applyAlignment="1">
      <alignment horizontal="center"/>
    </xf>
    <xf numFmtId="0" fontId="0" fillId="8" borderId="17" xfId="0" applyFill="1" applyBorder="1"/>
    <xf numFmtId="0" fontId="0" fillId="8" borderId="18" xfId="0" applyFill="1" applyBorder="1"/>
    <xf numFmtId="164" fontId="0" fillId="8" borderId="18" xfId="0" applyNumberFormat="1" applyFill="1" applyBorder="1"/>
    <xf numFmtId="0" fontId="12" fillId="6" borderId="7" xfId="0" applyFont="1" applyFill="1" applyBorder="1" applyAlignment="1">
      <alignment horizontal="center"/>
    </xf>
    <xf numFmtId="0" fontId="0" fillId="7" borderId="14" xfId="0" applyFont="1" applyFill="1" applyBorder="1"/>
    <xf numFmtId="0" fontId="0" fillId="0" borderId="0" xfId="0" pivotButton="1"/>
    <xf numFmtId="0" fontId="0" fillId="0" borderId="0" xfId="0" applyAlignment="1">
      <alignment horizontal="left"/>
    </xf>
    <xf numFmtId="0" fontId="12" fillId="6" borderId="7" xfId="0" applyFont="1" applyFill="1" applyBorder="1" applyAlignment="1">
      <alignment horizontal="center"/>
    </xf>
    <xf numFmtId="164" fontId="0" fillId="0" borderId="0" xfId="0" applyNumberFormat="1" applyAlignment="1">
      <alignment horizontal="right"/>
    </xf>
    <xf numFmtId="8" fontId="0" fillId="0" borderId="0" xfId="0" applyNumberFormat="1"/>
    <xf numFmtId="0" fontId="0" fillId="8" borderId="0" xfId="0" applyFill="1"/>
    <xf numFmtId="164" fontId="0" fillId="8" borderId="0" xfId="0" applyNumberFormat="1" applyFill="1"/>
    <xf numFmtId="6" fontId="0" fillId="0" borderId="0" xfId="0" applyNumberFormat="1"/>
    <xf numFmtId="14" fontId="0" fillId="8" borderId="0" xfId="0" applyNumberFormat="1" applyFill="1"/>
    <xf numFmtId="10" fontId="0" fillId="0" borderId="0" xfId="5" applyNumberFormat="1" applyFont="1"/>
    <xf numFmtId="10" fontId="0" fillId="8" borderId="0" xfId="5" applyNumberFormat="1" applyFont="1" applyFill="1"/>
    <xf numFmtId="0" fontId="12" fillId="6" borderId="7" xfId="0" applyFont="1" applyFill="1" applyBorder="1" applyAlignment="1">
      <alignment horizontal="left"/>
    </xf>
    <xf numFmtId="0" fontId="0" fillId="7" borderId="0" xfId="0" applyFont="1" applyFill="1" applyBorder="1"/>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8" borderId="22" xfId="0" applyNumberFormat="1" applyFill="1" applyBorder="1" applyAlignment="1">
      <alignment horizontal="center"/>
    </xf>
    <xf numFmtId="0" fontId="0" fillId="8" borderId="23" xfId="0" applyFill="1" applyBorder="1" applyAlignment="1">
      <alignment horizontal="center"/>
    </xf>
    <xf numFmtId="0" fontId="0" fillId="8" borderId="23" xfId="0" applyNumberFormat="1" applyFill="1" applyBorder="1" applyAlignment="1">
      <alignment horizontal="center"/>
    </xf>
    <xf numFmtId="0" fontId="0" fillId="8" borderId="24" xfId="0" applyFill="1" applyBorder="1" applyAlignment="1">
      <alignment horizontal="center"/>
    </xf>
    <xf numFmtId="0" fontId="0" fillId="0" borderId="14" xfId="0" applyNumberFormat="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164" fontId="0" fillId="8" borderId="25" xfId="0" applyNumberFormat="1" applyFill="1" applyBorder="1"/>
    <xf numFmtId="164" fontId="0" fillId="0" borderId="26" xfId="0" applyNumberFormat="1" applyBorder="1"/>
    <xf numFmtId="0" fontId="0" fillId="0" borderId="14" xfId="0" applyBorder="1" applyAlignment="1">
      <alignment horizontal="center"/>
    </xf>
    <xf numFmtId="164" fontId="0" fillId="8" borderId="0" xfId="0" applyNumberFormat="1" applyFill="1" applyBorder="1"/>
    <xf numFmtId="165" fontId="0" fillId="0" borderId="0" xfId="0" applyNumberFormat="1"/>
    <xf numFmtId="164" fontId="0" fillId="8" borderId="13" xfId="0" applyNumberFormat="1" applyFill="1" applyBorder="1"/>
    <xf numFmtId="164" fontId="0" fillId="8" borderId="15" xfId="0" applyNumberFormat="1" applyFill="1" applyBorder="1"/>
    <xf numFmtId="164" fontId="0" fillId="0" borderId="13" xfId="0" applyNumberFormat="1" applyBorder="1"/>
    <xf numFmtId="164" fontId="0" fillId="8" borderId="16" xfId="0" applyNumberFormat="1" applyFill="1" applyBorder="1"/>
    <xf numFmtId="0" fontId="12" fillId="6" borderId="27" xfId="0" applyFont="1" applyFill="1" applyBorder="1" applyAlignment="1">
      <alignment horizontal="center"/>
    </xf>
    <xf numFmtId="0" fontId="0" fillId="8" borderId="23" xfId="0" applyFill="1" applyBorder="1" applyAlignment="1">
      <alignment horizontal="right"/>
    </xf>
    <xf numFmtId="0" fontId="0" fillId="0" borderId="0" xfId="0" applyBorder="1" applyAlignment="1">
      <alignment horizontal="right"/>
    </xf>
    <xf numFmtId="0" fontId="14" fillId="8" borderId="15" xfId="0" applyFont="1" applyFill="1" applyBorder="1" applyAlignment="1">
      <alignment horizontal="right"/>
    </xf>
    <xf numFmtId="0" fontId="0" fillId="0" borderId="20" xfId="0" applyBorder="1" applyAlignment="1">
      <alignment horizontal="right" vertical="center"/>
    </xf>
    <xf numFmtId="0" fontId="0" fillId="0" borderId="21" xfId="0" applyBorder="1" applyAlignment="1">
      <alignment horizontal="right" vertical="center"/>
    </xf>
    <xf numFmtId="0" fontId="0" fillId="8" borderId="0" xfId="0" applyFill="1" applyBorder="1" applyAlignment="1">
      <alignment horizontal="right"/>
    </xf>
    <xf numFmtId="0" fontId="0" fillId="0" borderId="10" xfId="7" applyFont="1" applyFill="1" applyBorder="1" applyAlignment="1">
      <alignment horizontal="left"/>
    </xf>
    <xf numFmtId="0" fontId="0" fillId="8" borderId="15" xfId="7" applyFont="1" applyFill="1" applyBorder="1" applyAlignment="1">
      <alignment horizontal="left"/>
    </xf>
    <xf numFmtId="0" fontId="0" fillId="0" borderId="0" xfId="0" applyFill="1" applyBorder="1" applyAlignment="1">
      <alignment horizontal="right"/>
    </xf>
    <xf numFmtId="0" fontId="0" fillId="0" borderId="15" xfId="0" applyFill="1" applyBorder="1" applyAlignment="1">
      <alignment horizontal="right"/>
    </xf>
    <xf numFmtId="166" fontId="0" fillId="0" borderId="0" xfId="0" applyNumberFormat="1"/>
    <xf numFmtId="167" fontId="0" fillId="0" borderId="0" xfId="0" applyNumberFormat="1"/>
    <xf numFmtId="166" fontId="0" fillId="0" borderId="0" xfId="6" applyNumberFormat="1" applyFont="1"/>
    <xf numFmtId="0" fontId="0" fillId="0" borderId="20" xfId="0" applyBorder="1"/>
    <xf numFmtId="0" fontId="0" fillId="0" borderId="19" xfId="0" applyBorder="1"/>
    <xf numFmtId="0" fontId="0" fillId="0" borderId="21" xfId="0" applyBorder="1"/>
    <xf numFmtId="0" fontId="0" fillId="8" borderId="12" xfId="0" applyFill="1" applyBorder="1"/>
    <xf numFmtId="6" fontId="0" fillId="8" borderId="0" xfId="0" applyNumberFormat="1" applyFill="1" applyBorder="1"/>
    <xf numFmtId="6" fontId="0" fillId="8" borderId="13" xfId="0" applyNumberFormat="1" applyFill="1" applyBorder="1"/>
    <xf numFmtId="6" fontId="0" fillId="0" borderId="0" xfId="0" applyNumberFormat="1" applyBorder="1"/>
    <xf numFmtId="6" fontId="0" fillId="0" borderId="13" xfId="0" applyNumberFormat="1" applyBorder="1"/>
    <xf numFmtId="6" fontId="0" fillId="0" borderId="15" xfId="0" applyNumberFormat="1" applyBorder="1"/>
    <xf numFmtId="6" fontId="0" fillId="0" borderId="16" xfId="0" applyNumberFormat="1" applyBorder="1"/>
    <xf numFmtId="0" fontId="0" fillId="8" borderId="9" xfId="0" applyFill="1" applyBorder="1"/>
    <xf numFmtId="9" fontId="0" fillId="8" borderId="11" xfId="5" applyFont="1" applyFill="1" applyBorder="1"/>
    <xf numFmtId="8" fontId="0" fillId="0" borderId="13" xfId="0" applyNumberFormat="1" applyBorder="1"/>
    <xf numFmtId="9" fontId="0" fillId="0" borderId="16" xfId="0" applyNumberFormat="1" applyBorder="1"/>
    <xf numFmtId="0" fontId="16" fillId="0" borderId="0" xfId="0" applyFont="1"/>
    <xf numFmtId="0" fontId="0" fillId="0" borderId="0" xfId="0" applyBorder="1" applyAlignment="1">
      <alignment horizontal="center"/>
    </xf>
    <xf numFmtId="164" fontId="0" fillId="7" borderId="13" xfId="0" applyNumberFormat="1" applyFont="1" applyFill="1" applyBorder="1" applyAlignment="1">
      <alignment horizontal="right"/>
    </xf>
    <xf numFmtId="164" fontId="0" fillId="0" borderId="13" xfId="0" applyNumberFormat="1" applyBorder="1" applyAlignment="1">
      <alignment horizontal="right"/>
    </xf>
    <xf numFmtId="164" fontId="0" fillId="7" borderId="16" xfId="0" applyNumberFormat="1" applyFont="1" applyFill="1" applyBorder="1" applyAlignment="1">
      <alignment horizontal="right"/>
    </xf>
    <xf numFmtId="0" fontId="0" fillId="0" borderId="0" xfId="0" pivotButton="1" applyAlignment="1">
      <alignment horizontal="center"/>
    </xf>
    <xf numFmtId="9" fontId="0" fillId="0" borderId="15" xfId="5" applyFont="1" applyFill="1" applyBorder="1"/>
    <xf numFmtId="164" fontId="0" fillId="8" borderId="23" xfId="0" applyNumberFormat="1" applyFill="1" applyBorder="1"/>
    <xf numFmtId="164" fontId="0" fillId="0" borderId="0" xfId="0" applyNumberFormat="1" applyFill="1" applyBorder="1"/>
    <xf numFmtId="164" fontId="0" fillId="0" borderId="24" xfId="7" applyNumberFormat="1" applyFont="1" applyFill="1" applyBorder="1" applyAlignment="1"/>
    <xf numFmtId="164" fontId="0" fillId="8" borderId="16" xfId="7" applyNumberFormat="1" applyFont="1" applyFill="1" applyBorder="1" applyAlignment="1"/>
    <xf numFmtId="0" fontId="12" fillId="6" borderId="7" xfId="0" applyFont="1" applyFill="1" applyBorder="1" applyAlignment="1">
      <alignment horizontal="center"/>
    </xf>
    <xf numFmtId="0" fontId="0" fillId="0" borderId="0" xfId="0" applyNumberFormat="1"/>
    <xf numFmtId="0" fontId="0" fillId="0" borderId="0" xfId="0" applyAlignment="1">
      <alignment horizontal="left" indent="1"/>
    </xf>
    <xf numFmtId="10" fontId="0" fillId="0" borderId="0" xfId="0" applyNumberFormat="1" applyAlignment="1">
      <alignment horizontal="right"/>
    </xf>
    <xf numFmtId="168" fontId="0" fillId="0" borderId="0" xfId="0" applyNumberFormat="1"/>
    <xf numFmtId="0" fontId="11" fillId="3" borderId="0" xfId="2" applyFont="1" applyFill="1" applyBorder="1" applyAlignment="1">
      <alignment horizontal="center" vertical="center" wrapText="1"/>
    </xf>
    <xf numFmtId="0" fontId="11" fillId="3" borderId="3" xfId="2" applyFont="1" applyFill="1" applyBorder="1" applyAlignment="1">
      <alignment horizontal="center" vertical="center" wrapText="1"/>
    </xf>
    <xf numFmtId="0" fontId="11" fillId="3" borderId="5" xfId="2" applyFont="1" applyFill="1" applyBorder="1" applyAlignment="1">
      <alignment horizontal="center" vertical="center" wrapText="1"/>
    </xf>
    <xf numFmtId="0" fontId="11" fillId="3" borderId="6" xfId="2" applyFont="1" applyFill="1" applyBorder="1" applyAlignment="1">
      <alignment horizontal="center" vertical="center" wrapText="1"/>
    </xf>
    <xf numFmtId="0" fontId="1" fillId="5" borderId="0" xfId="1" applyFill="1" applyAlignment="1">
      <alignment horizontal="left" indent="17"/>
    </xf>
    <xf numFmtId="0" fontId="12" fillId="6" borderId="7" xfId="0" applyFont="1" applyFill="1" applyBorder="1" applyAlignment="1">
      <alignment horizontal="center"/>
    </xf>
    <xf numFmtId="0" fontId="0" fillId="0" borderId="13" xfId="0" applyBorder="1" applyAlignment="1">
      <alignment horizontal="right" vertical="center"/>
    </xf>
    <xf numFmtId="0" fontId="0" fillId="0" borderId="16" xfId="0" applyBorder="1" applyAlignment="1">
      <alignment horizontal="right" vertical="center"/>
    </xf>
    <xf numFmtId="0" fontId="12" fillId="6" borderId="28" xfId="0" applyFont="1" applyFill="1" applyBorder="1" applyAlignment="1">
      <alignment horizontal="center"/>
    </xf>
    <xf numFmtId="0" fontId="12" fillId="6" borderId="27" xfId="0" applyFont="1" applyFill="1" applyBorder="1" applyAlignment="1">
      <alignment horizontal="center"/>
    </xf>
  </cellXfs>
  <cellStyles count="8">
    <cellStyle name="Comma" xfId="6" builtinId="3"/>
    <cellStyle name="Normal" xfId="0" builtinId="0"/>
    <cellStyle name="Normal 2 2" xfId="2" xr:uid="{00000000-0005-0000-0000-000002000000}"/>
    <cellStyle name="Normal 5" xfId="7" xr:uid="{00000000-0005-0000-0000-000003000000}"/>
    <cellStyle name="Percent" xfId="5" builtinId="5"/>
    <cellStyle name="Student Name" xfId="3" xr:uid="{00000000-0005-0000-0000-000005000000}"/>
    <cellStyle name="Submission" xfId="4" xr:uid="{00000000-0005-0000-0000-000006000000}"/>
    <cellStyle name="Title" xfId="1" builtinId="15"/>
  </cellStyles>
  <dxfs count="20">
    <dxf>
      <numFmt numFmtId="164" formatCode="&quot;$&quot;#,##0"/>
    </dxf>
    <dxf>
      <numFmt numFmtId="0" formatCode="General"/>
    </dxf>
    <dxf>
      <numFmt numFmtId="164" formatCode="&quot;$&quot;#,##0"/>
    </dxf>
    <dxf>
      <numFmt numFmtId="14" formatCode="0.00%"/>
    </dxf>
    <dxf>
      <alignment horizontal="center" readingOrder="0"/>
    </dxf>
    <dxf>
      <alignment horizontal="center" readingOrder="0"/>
    </dxf>
    <dxf>
      <alignment horizontal="right" readingOrder="0"/>
    </dxf>
    <dxf>
      <numFmt numFmtId="164" formatCode="&quot;$&quot;#,##0"/>
    </dxf>
    <dxf>
      <alignment horizontal="right" readingOrder="0"/>
    </dxf>
    <dxf>
      <alignment horizontal="right"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64" formatCode="&quot;$&quot;#,##0"/>
    </dxf>
    <dxf>
      <numFmt numFmtId="164" formatCode="&quot;$&quot;#,##0"/>
    </dxf>
    <dxf>
      <numFmt numFmtId="19" formatCode="m/d/yyyy"/>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2.xml"/><Relationship Id="rId18" Type="http://schemas.microsoft.com/office/2011/relationships/timelineCache" Target="timelineCaches/timelineCach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xml"/><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7.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[NP_EX19_CT_CS9-12c_StevenHaynes_2.xlsm]Projects by Category!PivotTable4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'Projects by Category'!$B$3:$B$4</c:f>
              <c:strCache>
                <c:ptCount val="1"/>
                <c:pt idx="0">
                  <c:v>MT</c:v>
                </c:pt>
              </c:strCache>
            </c:strRef>
          </c:tx>
          <c:spPr>
            <a:solidFill>
              <a:schemeClr val="accent1"/>
            </a:solidFill>
            <a:ln>
              <a:noFill/>
            </a:ln>
            <a:effectLst/>
          </c:spPr>
          <c:invertIfNegative val="0"/>
          <c:cat>
            <c:strRef>
              <c:f>'Projects by Category'!$A$5:$A$10</c:f>
              <c:strCache>
                <c:ptCount val="5"/>
                <c:pt idx="0">
                  <c:v>Bridge</c:v>
                </c:pt>
                <c:pt idx="1">
                  <c:v>Highway</c:v>
                </c:pt>
                <c:pt idx="2">
                  <c:v>Paving</c:v>
                </c:pt>
                <c:pt idx="3">
                  <c:v>Site development</c:v>
                </c:pt>
                <c:pt idx="4">
                  <c:v>Site enhancement</c:v>
                </c:pt>
              </c:strCache>
            </c:strRef>
          </c:cat>
          <c:val>
            <c:numRef>
              <c:f>'Projects by Category'!$B$5:$B$10</c:f>
              <c:numCache>
                <c:formatCode>"$"#,##0</c:formatCode>
                <c:ptCount val="5"/>
                <c:pt idx="0">
                  <c:v>29800</c:v>
                </c:pt>
                <c:pt idx="1">
                  <c:v>31250</c:v>
                </c:pt>
                <c:pt idx="2">
                  <c:v>241067</c:v>
                </c:pt>
              </c:numCache>
            </c:numRef>
          </c:val>
          <c:extLst>
            <c:ext xmlns:c16="http://schemas.microsoft.com/office/drawing/2014/chart" uri="{C3380CC4-5D6E-409C-BE32-E72D297353CC}">
              <c16:uniqueId val="{00000000-F148-4A12-934A-3341EB05665C}"/>
            </c:ext>
          </c:extLst>
        </c:ser>
        <c:ser>
          <c:idx val="1"/>
          <c:order val="1"/>
          <c:tx>
            <c:strRef>
              <c:f>'Projects by Category'!$C$3:$C$4</c:f>
              <c:strCache>
                <c:ptCount val="1"/>
                <c:pt idx="0">
                  <c:v>ND</c:v>
                </c:pt>
              </c:strCache>
            </c:strRef>
          </c:tx>
          <c:spPr>
            <a:solidFill>
              <a:schemeClr val="accent2"/>
            </a:solidFill>
            <a:ln>
              <a:noFill/>
            </a:ln>
            <a:effectLst/>
          </c:spPr>
          <c:invertIfNegative val="0"/>
          <c:cat>
            <c:strRef>
              <c:f>'Projects by Category'!$A$5:$A$10</c:f>
              <c:strCache>
                <c:ptCount val="5"/>
                <c:pt idx="0">
                  <c:v>Bridge</c:v>
                </c:pt>
                <c:pt idx="1">
                  <c:v>Highway</c:v>
                </c:pt>
                <c:pt idx="2">
                  <c:v>Paving</c:v>
                </c:pt>
                <c:pt idx="3">
                  <c:v>Site development</c:v>
                </c:pt>
                <c:pt idx="4">
                  <c:v>Site enhancement</c:v>
                </c:pt>
              </c:strCache>
            </c:strRef>
          </c:cat>
          <c:val>
            <c:numRef>
              <c:f>'Projects by Category'!$C$5:$C$10</c:f>
              <c:numCache>
                <c:formatCode>"$"#,##0</c:formatCode>
                <c:ptCount val="5"/>
                <c:pt idx="1">
                  <c:v>100800</c:v>
                </c:pt>
                <c:pt idx="2">
                  <c:v>230798</c:v>
                </c:pt>
              </c:numCache>
            </c:numRef>
          </c:val>
          <c:extLst>
            <c:ext xmlns:c16="http://schemas.microsoft.com/office/drawing/2014/chart" uri="{C3380CC4-5D6E-409C-BE32-E72D297353CC}">
              <c16:uniqueId val="{00000001-F148-4A12-934A-3341EB05665C}"/>
            </c:ext>
          </c:extLst>
        </c:ser>
        <c:ser>
          <c:idx val="2"/>
          <c:order val="2"/>
          <c:tx>
            <c:strRef>
              <c:f>'Projects by Category'!$D$3:$D$4</c:f>
              <c:strCache>
                <c:ptCount val="1"/>
                <c:pt idx="0">
                  <c:v>NE</c:v>
                </c:pt>
              </c:strCache>
            </c:strRef>
          </c:tx>
          <c:spPr>
            <a:solidFill>
              <a:schemeClr val="accent3"/>
            </a:solidFill>
            <a:ln>
              <a:noFill/>
            </a:ln>
            <a:effectLst/>
          </c:spPr>
          <c:invertIfNegative val="0"/>
          <c:cat>
            <c:strRef>
              <c:f>'Projects by Category'!$A$5:$A$10</c:f>
              <c:strCache>
                <c:ptCount val="5"/>
                <c:pt idx="0">
                  <c:v>Bridge</c:v>
                </c:pt>
                <c:pt idx="1">
                  <c:v>Highway</c:v>
                </c:pt>
                <c:pt idx="2">
                  <c:v>Paving</c:v>
                </c:pt>
                <c:pt idx="3">
                  <c:v>Site development</c:v>
                </c:pt>
                <c:pt idx="4">
                  <c:v>Site enhancement</c:v>
                </c:pt>
              </c:strCache>
            </c:strRef>
          </c:cat>
          <c:val>
            <c:numRef>
              <c:f>'Projects by Category'!$D$5:$D$10</c:f>
              <c:numCache>
                <c:formatCode>"$"#,##0</c:formatCode>
                <c:ptCount val="5"/>
                <c:pt idx="0">
                  <c:v>72358</c:v>
                </c:pt>
                <c:pt idx="1">
                  <c:v>45062</c:v>
                </c:pt>
                <c:pt idx="2">
                  <c:v>282710</c:v>
                </c:pt>
                <c:pt idx="3">
                  <c:v>142236</c:v>
                </c:pt>
                <c:pt idx="4">
                  <c:v>34756</c:v>
                </c:pt>
              </c:numCache>
            </c:numRef>
          </c:val>
          <c:extLst>
            <c:ext xmlns:c16="http://schemas.microsoft.com/office/drawing/2014/chart" uri="{C3380CC4-5D6E-409C-BE32-E72D297353CC}">
              <c16:uniqueId val="{00000002-F148-4A12-934A-3341EB05665C}"/>
            </c:ext>
          </c:extLst>
        </c:ser>
        <c:ser>
          <c:idx val="3"/>
          <c:order val="3"/>
          <c:tx>
            <c:strRef>
              <c:f>'Projects by Category'!$E$3:$E$4</c:f>
              <c:strCache>
                <c:ptCount val="1"/>
                <c:pt idx="0">
                  <c:v>SD</c:v>
                </c:pt>
              </c:strCache>
            </c:strRef>
          </c:tx>
          <c:spPr>
            <a:solidFill>
              <a:schemeClr val="accent4"/>
            </a:solidFill>
            <a:ln>
              <a:noFill/>
            </a:ln>
            <a:effectLst/>
          </c:spPr>
          <c:invertIfNegative val="0"/>
          <c:cat>
            <c:strRef>
              <c:f>'Projects by Category'!$A$5:$A$10</c:f>
              <c:strCache>
                <c:ptCount val="5"/>
                <c:pt idx="0">
                  <c:v>Bridge</c:v>
                </c:pt>
                <c:pt idx="1">
                  <c:v>Highway</c:v>
                </c:pt>
                <c:pt idx="2">
                  <c:v>Paving</c:v>
                </c:pt>
                <c:pt idx="3">
                  <c:v>Site development</c:v>
                </c:pt>
                <c:pt idx="4">
                  <c:v>Site enhancement</c:v>
                </c:pt>
              </c:strCache>
            </c:strRef>
          </c:cat>
          <c:val>
            <c:numRef>
              <c:f>'Projects by Category'!$E$5:$E$10</c:f>
              <c:numCache>
                <c:formatCode>"$"#,##0</c:formatCode>
                <c:ptCount val="5"/>
                <c:pt idx="1">
                  <c:v>81418</c:v>
                </c:pt>
                <c:pt idx="2">
                  <c:v>28500</c:v>
                </c:pt>
                <c:pt idx="3">
                  <c:v>168687</c:v>
                </c:pt>
              </c:numCache>
            </c:numRef>
          </c:val>
          <c:extLst>
            <c:ext xmlns:c16="http://schemas.microsoft.com/office/drawing/2014/chart" uri="{C3380CC4-5D6E-409C-BE32-E72D297353CC}">
              <c16:uniqueId val="{00000003-F148-4A12-934A-3341EB05665C}"/>
            </c:ext>
          </c:extLst>
        </c:ser>
        <c:ser>
          <c:idx val="4"/>
          <c:order val="4"/>
          <c:tx>
            <c:strRef>
              <c:f>'Projects by Category'!$F$3:$F$4</c:f>
              <c:strCache>
                <c:ptCount val="1"/>
                <c:pt idx="0">
                  <c:v>WY</c:v>
                </c:pt>
              </c:strCache>
            </c:strRef>
          </c:tx>
          <c:spPr>
            <a:solidFill>
              <a:schemeClr val="accent5"/>
            </a:solidFill>
            <a:ln>
              <a:noFill/>
            </a:ln>
            <a:effectLst/>
          </c:spPr>
          <c:invertIfNegative val="0"/>
          <c:cat>
            <c:strRef>
              <c:f>'Projects by Category'!$A$5:$A$10</c:f>
              <c:strCache>
                <c:ptCount val="5"/>
                <c:pt idx="0">
                  <c:v>Bridge</c:v>
                </c:pt>
                <c:pt idx="1">
                  <c:v>Highway</c:v>
                </c:pt>
                <c:pt idx="2">
                  <c:v>Paving</c:v>
                </c:pt>
                <c:pt idx="3">
                  <c:v>Site development</c:v>
                </c:pt>
                <c:pt idx="4">
                  <c:v>Site enhancement</c:v>
                </c:pt>
              </c:strCache>
            </c:strRef>
          </c:cat>
          <c:val>
            <c:numRef>
              <c:f>'Projects by Category'!$F$5:$F$10</c:f>
              <c:numCache>
                <c:formatCode>"$"#,##0</c:formatCode>
                <c:ptCount val="5"/>
                <c:pt idx="0">
                  <c:v>74248</c:v>
                </c:pt>
                <c:pt idx="2">
                  <c:v>75250</c:v>
                </c:pt>
                <c:pt idx="3">
                  <c:v>44255</c:v>
                </c:pt>
              </c:numCache>
            </c:numRef>
          </c:val>
          <c:extLst>
            <c:ext xmlns:c16="http://schemas.microsoft.com/office/drawing/2014/chart" uri="{C3380CC4-5D6E-409C-BE32-E72D297353CC}">
              <c16:uniqueId val="{00000004-F148-4A12-934A-3341EB05665C}"/>
            </c:ext>
          </c:extLst>
        </c:ser>
        <c:dLbls>
          <c:showLegendKey val="0"/>
          <c:showVal val="0"/>
          <c:showCatName val="0"/>
          <c:showSerName val="0"/>
          <c:showPercent val="0"/>
          <c:showBubbleSize val="0"/>
        </c:dLbls>
        <c:gapWidth val="150"/>
        <c:overlap val="100"/>
        <c:axId val="1736976944"/>
        <c:axId val="1736978192"/>
      </c:barChart>
      <c:catAx>
        <c:axId val="173697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978192"/>
        <c:crosses val="autoZero"/>
        <c:auto val="1"/>
        <c:lblAlgn val="ctr"/>
        <c:lblOffset val="100"/>
        <c:noMultiLvlLbl val="0"/>
      </c:catAx>
      <c:valAx>
        <c:axId val="1736978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97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Monthly Revenue Projections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strRef>
              <c:f>'Monthly Revenue Projections'!$C$1</c:f>
              <c:strCache>
                <c:ptCount val="1"/>
                <c:pt idx="0">
                  <c:v>Revenue</c:v>
                </c:pt>
              </c:strCache>
            </c:strRef>
          </c:tx>
          <c:spPr>
            <a:ln w="25400" cap="rnd">
              <a:noFill/>
              <a:round/>
            </a:ln>
            <a:effectLst>
              <a:innerShdw blurRad="25400" dist="12700" dir="13500000">
                <a:srgbClr val="000000">
                  <a:alpha val="45000"/>
                </a:srgbClr>
              </a:innerShdw>
            </a:effectLst>
          </c:spPr>
          <c:marker>
            <c:symbol val="circle"/>
            <c:size val="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innerShdw blurRad="25400" dist="12700" dir="13500000">
                  <a:srgbClr val="000000">
                    <a:alpha val="45000"/>
                  </a:srgbClr>
                </a:innerShdw>
              </a:effectLst>
            </c:spPr>
          </c:marker>
          <c:trendline>
            <c:spPr>
              <a:ln w="9525" cap="rnd">
                <a:solidFill>
                  <a:schemeClr val="accent1"/>
                </a:solidFill>
              </a:ln>
              <a:effectLst/>
            </c:spPr>
            <c:trendlineType val="log"/>
            <c:dispRSqr val="0"/>
            <c:dispEq val="0"/>
          </c:trendline>
          <c:xVal>
            <c:numRef>
              <c:f>'Monthly Revenue Projections'!$B$2:$B$61</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numCache>
            </c:numRef>
          </c:xVal>
          <c:yVal>
            <c:numRef>
              <c:f>'Monthly Revenue Projections'!$C$2:$C$61</c:f>
              <c:numCache>
                <c:formatCode>_(* #,##0_);_(* \(#,##0\);_(* "-"??_);_(@_)</c:formatCode>
                <c:ptCount val="60"/>
                <c:pt idx="0">
                  <c:v>149443</c:v>
                </c:pt>
                <c:pt idx="1">
                  <c:v>153967</c:v>
                </c:pt>
                <c:pt idx="2">
                  <c:v>154268</c:v>
                </c:pt>
                <c:pt idx="3">
                  <c:v>157665</c:v>
                </c:pt>
                <c:pt idx="4">
                  <c:v>158775</c:v>
                </c:pt>
                <c:pt idx="5">
                  <c:v>156834</c:v>
                </c:pt>
                <c:pt idx="6">
                  <c:v>151995</c:v>
                </c:pt>
                <c:pt idx="7">
                  <c:v>156935</c:v>
                </c:pt>
                <c:pt idx="8">
                  <c:v>158021</c:v>
                </c:pt>
                <c:pt idx="9">
                  <c:v>158566</c:v>
                </c:pt>
                <c:pt idx="10">
                  <c:v>158775</c:v>
                </c:pt>
                <c:pt idx="11">
                  <c:v>158756</c:v>
                </c:pt>
                <c:pt idx="12">
                  <c:v>156012</c:v>
                </c:pt>
                <c:pt idx="13">
                  <c:v>157345</c:v>
                </c:pt>
                <c:pt idx="14">
                  <c:v>159552</c:v>
                </c:pt>
                <c:pt idx="15">
                  <c:v>160207</c:v>
                </c:pt>
                <c:pt idx="16">
                  <c:v>160113</c:v>
                </c:pt>
                <c:pt idx="17">
                  <c:v>159765</c:v>
                </c:pt>
                <c:pt idx="18">
                  <c:v>150599</c:v>
                </c:pt>
                <c:pt idx="19">
                  <c:v>160215</c:v>
                </c:pt>
                <c:pt idx="20">
                  <c:v>161750</c:v>
                </c:pt>
                <c:pt idx="21">
                  <c:v>162154</c:v>
                </c:pt>
                <c:pt idx="22">
                  <c:v>160205</c:v>
                </c:pt>
                <c:pt idx="23">
                  <c:v>160450</c:v>
                </c:pt>
                <c:pt idx="24">
                  <c:v>161599</c:v>
                </c:pt>
                <c:pt idx="25">
                  <c:v>162702</c:v>
                </c:pt>
                <c:pt idx="26">
                  <c:v>162998</c:v>
                </c:pt>
                <c:pt idx="27">
                  <c:v>160012</c:v>
                </c:pt>
                <c:pt idx="28">
                  <c:v>164175</c:v>
                </c:pt>
                <c:pt idx="29">
                  <c:v>164998</c:v>
                </c:pt>
                <c:pt idx="30">
                  <c:v>164765</c:v>
                </c:pt>
                <c:pt idx="31">
                  <c:v>161248</c:v>
                </c:pt>
                <c:pt idx="32">
                  <c:v>165060</c:v>
                </c:pt>
                <c:pt idx="33">
                  <c:v>165621</c:v>
                </c:pt>
                <c:pt idx="34">
                  <c:v>165987</c:v>
                </c:pt>
                <c:pt idx="35">
                  <c:v>169958</c:v>
                </c:pt>
                <c:pt idx="36">
                  <c:v>168155</c:v>
                </c:pt>
                <c:pt idx="37">
                  <c:v>168014</c:v>
                </c:pt>
                <c:pt idx="38">
                  <c:v>169109</c:v>
                </c:pt>
                <c:pt idx="39">
                  <c:v>169121</c:v>
                </c:pt>
                <c:pt idx="40">
                  <c:v>169342</c:v>
                </c:pt>
                <c:pt idx="41">
                  <c:v>165695</c:v>
                </c:pt>
                <c:pt idx="42">
                  <c:v>164992</c:v>
                </c:pt>
                <c:pt idx="43">
                  <c:v>167622</c:v>
                </c:pt>
                <c:pt idx="44">
                  <c:v>168252</c:v>
                </c:pt>
                <c:pt idx="45">
                  <c:v>169013</c:v>
                </c:pt>
                <c:pt idx="46">
                  <c:v>169211</c:v>
                </c:pt>
                <c:pt idx="47">
                  <c:v>170001</c:v>
                </c:pt>
                <c:pt idx="48">
                  <c:v>170225</c:v>
                </c:pt>
                <c:pt idx="49">
                  <c:v>170100</c:v>
                </c:pt>
                <c:pt idx="50">
                  <c:v>171225</c:v>
                </c:pt>
                <c:pt idx="51">
                  <c:v>170026</c:v>
                </c:pt>
                <c:pt idx="52">
                  <c:v>171245</c:v>
                </c:pt>
                <c:pt idx="53">
                  <c:v>170875</c:v>
                </c:pt>
                <c:pt idx="54">
                  <c:v>169765</c:v>
                </c:pt>
                <c:pt idx="55">
                  <c:v>171232</c:v>
                </c:pt>
                <c:pt idx="56">
                  <c:v>173012</c:v>
                </c:pt>
                <c:pt idx="57">
                  <c:v>173187</c:v>
                </c:pt>
                <c:pt idx="58">
                  <c:v>174675</c:v>
                </c:pt>
                <c:pt idx="59">
                  <c:v>173412</c:v>
                </c:pt>
              </c:numCache>
            </c:numRef>
          </c:yVal>
          <c:smooth val="0"/>
          <c:extLst>
            <c:ext xmlns:c16="http://schemas.microsoft.com/office/drawing/2014/chart" uri="{C3380CC4-5D6E-409C-BE32-E72D297353CC}">
              <c16:uniqueId val="{00000000-4837-4236-B319-671007BE4326}"/>
            </c:ext>
          </c:extLst>
        </c:ser>
        <c:dLbls>
          <c:showLegendKey val="0"/>
          <c:showVal val="0"/>
          <c:showCatName val="0"/>
          <c:showSerName val="0"/>
          <c:showPercent val="0"/>
          <c:showBubbleSize val="0"/>
        </c:dLbls>
        <c:axId val="498016504"/>
        <c:axId val="498019248"/>
      </c:scatterChart>
      <c:valAx>
        <c:axId val="498016504"/>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8019248"/>
        <c:crosses val="autoZero"/>
        <c:crossBetween val="midCat"/>
      </c:valAx>
      <c:valAx>
        <c:axId val="498019248"/>
        <c:scaling>
          <c:orientation val="minMax"/>
        </c:scaling>
        <c:delete val="0"/>
        <c:axPos val="l"/>
        <c:majorGridlines>
          <c:spPr>
            <a:ln w="9525" cap="flat" cmpd="sng" algn="ctr">
              <a:solidFill>
                <a:schemeClr val="tx2">
                  <a:lumMod val="15000"/>
                  <a:lumOff val="85000"/>
                </a:schemeClr>
              </a:solidFill>
              <a:round/>
            </a:ln>
            <a:effectLst/>
          </c:spPr>
        </c:majorGridlines>
        <c:numFmt formatCode="&quot;$&quot;#,##0" sourceLinked="0"/>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80165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5794577</xdr:colOff>
      <xdr:row>0</xdr:row>
      <xdr:rowOff>0</xdr:rowOff>
    </xdr:from>
    <xdr:to>
      <xdr:col>3</xdr:col>
      <xdr:colOff>0</xdr:colOff>
      <xdr:row>1</xdr:row>
      <xdr:rowOff>7640</xdr:rowOff>
    </xdr:to>
    <xdr:pic>
      <xdr:nvPicPr>
        <xdr:cNvPr id="2" name="Picture 1" descr="SAM logo" title="SAM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7977" y="0"/>
          <a:ext cx="1787323" cy="4115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xdr:col>
      <xdr:colOff>633687</xdr:colOff>
      <xdr:row>1</xdr:row>
      <xdr:rowOff>7620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 y="0"/>
          <a:ext cx="1575074" cy="731520"/>
        </a:xfrm>
        <a:prstGeom prst="rect">
          <a:avLst/>
        </a:prstGeom>
      </xdr:spPr>
    </xdr:pic>
    <xdr:clientData/>
  </xdr:twoCellAnchor>
  <xdr:oneCellAnchor>
    <xdr:from>
      <xdr:col>2</xdr:col>
      <xdr:colOff>370656</xdr:colOff>
      <xdr:row>0</xdr:row>
      <xdr:rowOff>147710</xdr:rowOff>
    </xdr:from>
    <xdr:ext cx="2671822" cy="438582"/>
    <xdr:sp macro="" textlink="">
      <xdr:nvSpPr>
        <xdr:cNvPr id="3" name="Rectangle 2">
          <a:extLst>
            <a:ext uri="{FF2B5EF4-FFF2-40B4-BE49-F238E27FC236}">
              <a16:creationId xmlns:a16="http://schemas.microsoft.com/office/drawing/2014/main" id="{00000000-0008-0000-0100-000003000000}"/>
            </a:ext>
          </a:extLst>
        </xdr:cNvPr>
        <xdr:cNvSpPr/>
      </xdr:nvSpPr>
      <xdr:spPr>
        <a:xfrm>
          <a:off x="1735906" y="147710"/>
          <a:ext cx="2671822" cy="438582"/>
        </a:xfrm>
        <a:prstGeom prst="rect">
          <a:avLst/>
        </a:prstGeom>
        <a:noFill/>
      </xdr:spPr>
      <xdr:txBody>
        <a:bodyPr wrap="none" lIns="91440" tIns="45720" rIns="91440" bIns="45720">
          <a:spAutoFit/>
        </a:bodyPr>
        <a:lstStyle/>
        <a:p>
          <a:pPr algn="ctr"/>
          <a:r>
            <a:rPr lang="en-US" sz="2400" b="0" cap="none" spc="0">
              <a:ln w="0"/>
              <a:solidFill>
                <a:schemeClr val="tx1">
                  <a:lumMod val="75000"/>
                  <a:lumOff val="25000"/>
                </a:schemeClr>
              </a:solidFill>
              <a:effectLst>
                <a:outerShdw blurRad="38100" dist="25400" dir="5400000" algn="ctr" rotWithShape="0">
                  <a:srgbClr val="6E747A">
                    <a:alpha val="43000"/>
                  </a:srgbClr>
                </a:outerShdw>
              </a:effectLst>
            </a:rPr>
            <a:t>Engineering</a:t>
          </a:r>
          <a:r>
            <a:rPr lang="en-US" sz="2400" b="0" cap="none" spc="0" baseline="0">
              <a:ln w="0"/>
              <a:solidFill>
                <a:schemeClr val="tx1">
                  <a:lumMod val="75000"/>
                  <a:lumOff val="25000"/>
                </a:schemeClr>
              </a:solidFill>
              <a:effectLst>
                <a:outerShdw blurRad="38100" dist="25400" dir="5400000" algn="ctr" rotWithShape="0">
                  <a:srgbClr val="6E747A">
                    <a:alpha val="43000"/>
                  </a:srgbClr>
                </a:outerShdw>
              </a:effectLst>
            </a:rPr>
            <a:t> Projects</a:t>
          </a:r>
        </a:p>
      </xdr:txBody>
    </xdr:sp>
    <xdr:clientData/>
  </xdr:oneCellAnchor>
  <mc:AlternateContent xmlns:mc="http://schemas.openxmlformats.org/markup-compatibility/2006">
    <mc:Choice xmlns:a14="http://schemas.microsoft.com/office/drawing/2010/main" Requires="a14">
      <xdr:twoCellAnchor editAs="oneCell">
        <xdr:from>
          <xdr:col>9</xdr:col>
          <xdr:colOff>85725</xdr:colOff>
          <xdr:row>0</xdr:row>
          <xdr:rowOff>123825</xdr:rowOff>
        </xdr:from>
        <xdr:to>
          <xdr:col>10</xdr:col>
          <xdr:colOff>276225</xdr:colOff>
          <xdr:row>0</xdr:row>
          <xdr:rowOff>400050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Garamond"/>
                </a:rPr>
                <a:t>Print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0</xdr:row>
          <xdr:rowOff>123825</xdr:rowOff>
        </xdr:from>
        <xdr:to>
          <xdr:col>8</xdr:col>
          <xdr:colOff>971550</xdr:colOff>
          <xdr:row>0</xdr:row>
          <xdr:rowOff>400050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Garamond"/>
                </a:rPr>
                <a:t>Add Project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587649</xdr:colOff>
      <xdr:row>1</xdr:row>
      <xdr:rowOff>6033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78249" cy="729933"/>
        </a:xfrm>
        <a:prstGeom prst="rect">
          <a:avLst/>
        </a:prstGeom>
      </xdr:spPr>
    </xdr:pic>
    <xdr:clientData/>
  </xdr:twoCellAnchor>
  <xdr:oneCellAnchor>
    <xdr:from>
      <xdr:col>2</xdr:col>
      <xdr:colOff>300837</xdr:colOff>
      <xdr:row>0</xdr:row>
      <xdr:rowOff>152400</xdr:rowOff>
    </xdr:from>
    <xdr:ext cx="2165401" cy="438582"/>
    <xdr:sp macro="" textlink="">
      <xdr:nvSpPr>
        <xdr:cNvPr id="3" name="Rectangle 2">
          <a:extLst>
            <a:ext uri="{FF2B5EF4-FFF2-40B4-BE49-F238E27FC236}">
              <a16:creationId xmlns:a16="http://schemas.microsoft.com/office/drawing/2014/main" id="{00000000-0008-0000-0300-000003000000}"/>
            </a:ext>
          </a:extLst>
        </xdr:cNvPr>
        <xdr:cNvSpPr/>
      </xdr:nvSpPr>
      <xdr:spPr>
        <a:xfrm>
          <a:off x="2529687" y="152400"/>
          <a:ext cx="2165401" cy="438582"/>
        </a:xfrm>
        <a:prstGeom prst="rect">
          <a:avLst/>
        </a:prstGeom>
        <a:noFill/>
      </xdr:spPr>
      <xdr:txBody>
        <a:bodyPr wrap="none" lIns="91440" tIns="45720" rIns="91440" bIns="45720">
          <a:spAutoFit/>
        </a:bodyPr>
        <a:lstStyle/>
        <a:p>
          <a:pPr algn="ctr"/>
          <a:r>
            <a:rPr lang="en-US" sz="2400" b="0" cap="none" spc="0" baseline="0">
              <a:ln w="0"/>
              <a:solidFill>
                <a:schemeClr val="tx1">
                  <a:lumMod val="75000"/>
                  <a:lumOff val="25000"/>
                </a:schemeClr>
              </a:solidFill>
              <a:effectLst>
                <a:outerShdw blurRad="38100" dist="25400" dir="5400000" algn="ctr" rotWithShape="0">
                  <a:srgbClr val="6E747A">
                    <a:alpha val="43000"/>
                  </a:srgbClr>
                </a:outerShdw>
              </a:effectLst>
            </a:rPr>
            <a:t>Projects by State</a:t>
          </a:r>
        </a:p>
      </xdr:txBody>
    </xdr:sp>
    <xdr:clientData/>
  </xdr:oneCellAnchor>
  <xdr:twoCellAnchor editAs="oneCell">
    <xdr:from>
      <xdr:col>0</xdr:col>
      <xdr:colOff>14720</xdr:colOff>
      <xdr:row>33</xdr:row>
      <xdr:rowOff>21647</xdr:rowOff>
    </xdr:from>
    <xdr:to>
      <xdr:col>5</xdr:col>
      <xdr:colOff>1073726</xdr:colOff>
      <xdr:row>39</xdr:row>
      <xdr:rowOff>155863</xdr:rowOff>
    </xdr:to>
    <mc:AlternateContent xmlns:mc="http://schemas.openxmlformats.org/markup-compatibility/2006" xmlns:tsle="http://schemas.microsoft.com/office/drawing/2012/timeslicer">
      <mc:Choice Requires="tsle">
        <xdr:graphicFrame macro="">
          <xdr:nvGraphicFramePr>
            <xdr:cNvPr id="4" name="Project St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2/timeslicer">
              <tsle:timeslicer name="Project Start"/>
            </a:graphicData>
          </a:graphic>
        </xdr:graphicFrame>
      </mc:Choice>
      <mc:Fallback xmlns="">
        <xdr:sp macro="" textlink="">
          <xdr:nvSpPr>
            <xdr:cNvPr id="0" name=""/>
            <xdr:cNvSpPr>
              <a:spLocks noTextEdit="1"/>
            </xdr:cNvSpPr>
          </xdr:nvSpPr>
          <xdr:spPr>
            <a:xfrm>
              <a:off x="14720" y="6845011"/>
              <a:ext cx="6367029" cy="127721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263799</xdr:colOff>
      <xdr:row>1</xdr:row>
      <xdr:rowOff>6033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78249" cy="729933"/>
        </a:xfrm>
        <a:prstGeom prst="rect">
          <a:avLst/>
        </a:prstGeom>
      </xdr:spPr>
    </xdr:pic>
    <xdr:clientData/>
  </xdr:twoCellAnchor>
  <xdr:oneCellAnchor>
    <xdr:from>
      <xdr:col>1</xdr:col>
      <xdr:colOff>1018614</xdr:colOff>
      <xdr:row>0</xdr:row>
      <xdr:rowOff>133350</xdr:rowOff>
    </xdr:from>
    <xdr:ext cx="2261773" cy="438582"/>
    <xdr:sp macro="" textlink="">
      <xdr:nvSpPr>
        <xdr:cNvPr id="3" name="Rectangle 2">
          <a:extLst>
            <a:ext uri="{FF2B5EF4-FFF2-40B4-BE49-F238E27FC236}">
              <a16:creationId xmlns:a16="http://schemas.microsoft.com/office/drawing/2014/main" id="{00000000-0008-0000-0400-000003000000}"/>
            </a:ext>
          </a:extLst>
        </xdr:cNvPr>
        <xdr:cNvSpPr/>
      </xdr:nvSpPr>
      <xdr:spPr>
        <a:xfrm>
          <a:off x="1952064" y="133350"/>
          <a:ext cx="2261773" cy="438582"/>
        </a:xfrm>
        <a:prstGeom prst="rect">
          <a:avLst/>
        </a:prstGeom>
        <a:noFill/>
      </xdr:spPr>
      <xdr:txBody>
        <a:bodyPr wrap="none" lIns="91440" tIns="45720" rIns="91440" bIns="45720">
          <a:spAutoFit/>
        </a:bodyPr>
        <a:lstStyle/>
        <a:p>
          <a:pPr algn="ctr"/>
          <a:r>
            <a:rPr lang="en-US" sz="2400" b="0" cap="none" spc="0" baseline="0">
              <a:ln w="0"/>
              <a:solidFill>
                <a:schemeClr val="tx1">
                  <a:lumMod val="75000"/>
                  <a:lumOff val="25000"/>
                </a:schemeClr>
              </a:solidFill>
              <a:effectLst>
                <a:outerShdw blurRad="38100" dist="25400" dir="5400000" algn="ctr" rotWithShape="0">
                  <a:srgbClr val="6E747A">
                    <a:alpha val="43000"/>
                  </a:srgbClr>
                </a:outerShdw>
              </a:effectLst>
            </a:rPr>
            <a:t>Project Payments</a:t>
          </a:r>
        </a:p>
      </xdr:txBody>
    </xdr:sp>
    <xdr:clientData/>
  </xdr:oneCellAnchor>
  <xdr:twoCellAnchor editAs="oneCell">
    <xdr:from>
      <xdr:col>6</xdr:col>
      <xdr:colOff>19050</xdr:colOff>
      <xdr:row>2</xdr:row>
      <xdr:rowOff>28575</xdr:rowOff>
    </xdr:from>
    <xdr:to>
      <xdr:col>8</xdr:col>
      <xdr:colOff>447675</xdr:colOff>
      <xdr:row>10</xdr:row>
      <xdr:rowOff>142875</xdr:rowOff>
    </xdr:to>
    <mc:AlternateContent xmlns:mc="http://schemas.openxmlformats.org/markup-compatibility/2006" xmlns:a14="http://schemas.microsoft.com/office/drawing/2010/main">
      <mc:Choice Requires="a14">
        <xdr:graphicFrame macro="">
          <xdr:nvGraphicFramePr>
            <xdr:cNvPr id="4" name="State">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5600700" y="942975"/>
              <a:ext cx="1438275" cy="1638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492399</xdr:colOff>
      <xdr:row>1</xdr:row>
      <xdr:rowOff>6033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78249" cy="729933"/>
        </a:xfrm>
        <a:prstGeom prst="rect">
          <a:avLst/>
        </a:prstGeom>
      </xdr:spPr>
    </xdr:pic>
    <xdr:clientData/>
  </xdr:twoCellAnchor>
  <xdr:oneCellAnchor>
    <xdr:from>
      <xdr:col>1</xdr:col>
      <xdr:colOff>939642</xdr:colOff>
      <xdr:row>0</xdr:row>
      <xdr:rowOff>123825</xdr:rowOff>
    </xdr:from>
    <xdr:ext cx="2649443" cy="438582"/>
    <xdr:sp macro="" textlink="">
      <xdr:nvSpPr>
        <xdr:cNvPr id="3" name="Rectangle 2">
          <a:extLst>
            <a:ext uri="{FF2B5EF4-FFF2-40B4-BE49-F238E27FC236}">
              <a16:creationId xmlns:a16="http://schemas.microsoft.com/office/drawing/2014/main" id="{00000000-0008-0000-0500-000003000000}"/>
            </a:ext>
          </a:extLst>
        </xdr:cNvPr>
        <xdr:cNvSpPr/>
      </xdr:nvSpPr>
      <xdr:spPr>
        <a:xfrm>
          <a:off x="2225517" y="123825"/>
          <a:ext cx="2649443" cy="438582"/>
        </a:xfrm>
        <a:prstGeom prst="rect">
          <a:avLst/>
        </a:prstGeom>
        <a:noFill/>
      </xdr:spPr>
      <xdr:txBody>
        <a:bodyPr wrap="none" lIns="91440" tIns="45720" rIns="91440" bIns="45720">
          <a:spAutoFit/>
        </a:bodyPr>
        <a:lstStyle/>
        <a:p>
          <a:pPr algn="ctr"/>
          <a:r>
            <a:rPr lang="en-US" sz="2400" b="0" cap="none" spc="0" baseline="0">
              <a:ln w="0"/>
              <a:solidFill>
                <a:schemeClr val="tx1">
                  <a:lumMod val="75000"/>
                  <a:lumOff val="25000"/>
                </a:schemeClr>
              </a:solidFill>
              <a:effectLst>
                <a:outerShdw blurRad="38100" dist="25400" dir="5400000" algn="ctr" rotWithShape="0">
                  <a:srgbClr val="6E747A">
                    <a:alpha val="43000"/>
                  </a:srgbClr>
                </a:outerShdw>
              </a:effectLst>
            </a:rPr>
            <a:t>Projects by Category</a:t>
          </a:r>
        </a:p>
      </xdr:txBody>
    </xdr:sp>
    <xdr:clientData/>
  </xdr:oneCellAnchor>
  <xdr:twoCellAnchor>
    <xdr:from>
      <xdr:col>0</xdr:col>
      <xdr:colOff>38099</xdr:colOff>
      <xdr:row>10</xdr:row>
      <xdr:rowOff>42861</xdr:rowOff>
    </xdr:from>
    <xdr:to>
      <xdr:col>6</xdr:col>
      <xdr:colOff>761999</xdr:colOff>
      <xdr:row>24</xdr:row>
      <xdr:rowOff>161924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901974</xdr:colOff>
      <xdr:row>1</xdr:row>
      <xdr:rowOff>6033</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78249" cy="72993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644799</xdr:colOff>
      <xdr:row>1</xdr:row>
      <xdr:rowOff>6033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78249" cy="72993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1578249</xdr:colOff>
      <xdr:row>1</xdr:row>
      <xdr:rowOff>7620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78249" cy="729933"/>
        </a:xfrm>
        <a:prstGeom prst="rect">
          <a:avLst/>
        </a:prstGeom>
      </xdr:spPr>
    </xdr:pic>
    <xdr:clientData/>
  </xdr:twoCellAnchor>
  <xdr:oneCellAnchor>
    <xdr:from>
      <xdr:col>3</xdr:col>
      <xdr:colOff>100733</xdr:colOff>
      <xdr:row>0</xdr:row>
      <xdr:rowOff>123897</xdr:rowOff>
    </xdr:from>
    <xdr:ext cx="2155975" cy="438582"/>
    <xdr:sp macro="" textlink="">
      <xdr:nvSpPr>
        <xdr:cNvPr id="3" name="Rectangle 2">
          <a:extLst>
            <a:ext uri="{FF2B5EF4-FFF2-40B4-BE49-F238E27FC236}">
              <a16:creationId xmlns:a16="http://schemas.microsoft.com/office/drawing/2014/main" id="{00000000-0008-0000-0800-000003000000}"/>
            </a:ext>
          </a:extLst>
        </xdr:cNvPr>
        <xdr:cNvSpPr/>
      </xdr:nvSpPr>
      <xdr:spPr>
        <a:xfrm>
          <a:off x="3307483" y="123897"/>
          <a:ext cx="2155975" cy="438582"/>
        </a:xfrm>
        <a:prstGeom prst="rect">
          <a:avLst/>
        </a:prstGeom>
        <a:noFill/>
      </xdr:spPr>
      <xdr:txBody>
        <a:bodyPr wrap="none" lIns="91440" tIns="45720" rIns="91440" bIns="45720">
          <a:spAutoFit/>
        </a:bodyPr>
        <a:lstStyle/>
        <a:p>
          <a:pPr algn="ctr"/>
          <a:r>
            <a:rPr lang="en-US" sz="2400" b="0" cap="none" spc="0">
              <a:ln w="0"/>
              <a:solidFill>
                <a:schemeClr val="tx1">
                  <a:lumMod val="75000"/>
                  <a:lumOff val="25000"/>
                </a:schemeClr>
              </a:solidFill>
              <a:effectLst>
                <a:outerShdw blurRad="38100" dist="25400" dir="5400000" algn="ctr" rotWithShape="0">
                  <a:srgbClr val="6E747A">
                    <a:alpha val="43000"/>
                  </a:srgbClr>
                </a:outerShdw>
              </a:effectLst>
            </a:rPr>
            <a:t>Expansion</a:t>
          </a:r>
          <a:r>
            <a:rPr lang="en-US" sz="2400" b="0" cap="none" spc="0" baseline="0">
              <a:ln w="0"/>
              <a:solidFill>
                <a:schemeClr val="tx1">
                  <a:lumMod val="75000"/>
                  <a:lumOff val="25000"/>
                </a:schemeClr>
              </a:solidFill>
              <a:effectLst>
                <a:outerShdw blurRad="38100" dist="25400" dir="5400000" algn="ctr" rotWithShape="0">
                  <a:srgbClr val="6E747A">
                    <a:alpha val="43000"/>
                  </a:srgbClr>
                </a:outerShdw>
              </a:effectLst>
            </a:rPr>
            <a:t> Loan</a:t>
          </a:r>
          <a:endParaRPr lang="en-US" sz="2400" b="0" cap="none" spc="0">
            <a:ln w="0"/>
            <a:solidFill>
              <a:schemeClr val="tx1">
                <a:lumMod val="75000"/>
                <a:lumOff val="25000"/>
              </a:schemeClr>
            </a:solidFill>
            <a:effectLst>
              <a:outerShdw blurRad="38100" dist="25400" dir="5400000" algn="ctr" rotWithShape="0">
                <a:srgbClr val="6E747A">
                  <a:alpha val="43000"/>
                </a:srgbClr>
              </a:outerShdw>
            </a:effectLst>
          </a:endParaRPr>
        </a:p>
      </xdr:txBody>
    </xdr:sp>
    <xdr:clientData/>
  </xdr:one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232049</xdr:colOff>
      <xdr:row>1</xdr:row>
      <xdr:rowOff>6033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78249" cy="729933"/>
        </a:xfrm>
        <a:prstGeom prst="rect">
          <a:avLst/>
        </a:prstGeom>
      </xdr:spPr>
    </xdr:pic>
    <xdr:clientData/>
  </xdr:twoCellAnchor>
  <xdr:twoCellAnchor>
    <xdr:from>
      <xdr:col>4</xdr:col>
      <xdr:colOff>9525</xdr:colOff>
      <xdr:row>2</xdr:row>
      <xdr:rowOff>9525</xdr:rowOff>
    </xdr:from>
    <xdr:to>
      <xdr:col>11</xdr:col>
      <xdr:colOff>0</xdr:colOff>
      <xdr:row>20</xdr:row>
      <xdr:rowOff>0</xdr:rowOff>
    </xdr:to>
    <xdr:graphicFrame macro="">
      <xdr:nvGraphicFramePr>
        <xdr:cNvPr id="3" name="Chart 1">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xdr:col>
      <xdr:colOff>643059</xdr:colOff>
      <xdr:row>0</xdr:row>
      <xdr:rowOff>150812</xdr:rowOff>
    </xdr:from>
    <xdr:ext cx="3373937" cy="438582"/>
    <xdr:sp macro="" textlink="">
      <xdr:nvSpPr>
        <xdr:cNvPr id="4" name="Rectangle 3">
          <a:extLst>
            <a:ext uri="{FF2B5EF4-FFF2-40B4-BE49-F238E27FC236}">
              <a16:creationId xmlns:a16="http://schemas.microsoft.com/office/drawing/2014/main" id="{00000000-0008-0000-0900-000004000000}"/>
            </a:ext>
          </a:extLst>
        </xdr:cNvPr>
        <xdr:cNvSpPr/>
      </xdr:nvSpPr>
      <xdr:spPr>
        <a:xfrm>
          <a:off x="2762372" y="150812"/>
          <a:ext cx="3373937" cy="438582"/>
        </a:xfrm>
        <a:prstGeom prst="rect">
          <a:avLst/>
        </a:prstGeom>
        <a:noFill/>
      </xdr:spPr>
      <xdr:txBody>
        <a:bodyPr wrap="none" lIns="91440" tIns="45720" rIns="91440" bIns="45720">
          <a:spAutoFit/>
        </a:bodyPr>
        <a:lstStyle/>
        <a:p>
          <a:pPr algn="ctr"/>
          <a:r>
            <a:rPr lang="en-US" sz="2400" b="0" cap="none" spc="0" baseline="0">
              <a:ln w="0"/>
              <a:solidFill>
                <a:schemeClr val="tx1">
                  <a:lumMod val="75000"/>
                  <a:lumOff val="25000"/>
                </a:schemeClr>
              </a:solidFill>
              <a:effectLst>
                <a:outerShdw blurRad="38100" dist="25400" dir="5400000" algn="ctr" rotWithShape="0">
                  <a:srgbClr val="6E747A">
                    <a:alpha val="43000"/>
                  </a:srgbClr>
                </a:outerShdw>
              </a:effectLst>
            </a:rPr>
            <a:t>Investments &amp; Projections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isa/Downloads/SAM/SAM%20Projects%202019/Excel/SC/SC_CS8-11/SC_EX19_CS8-11a_FirstLastName_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isa/Downloads/SAM/SAM%20Projects/Office%202016%20Projects/Excel/Intermediate%20Excel%20Capstones/NP%20Interm%20Capstone/NP_EX16_CS5-8a_FirstLastName_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Survey"/>
      <sheetName val="Sales Comparison"/>
      <sheetName val="Orders"/>
      <sheetName val="Installations"/>
      <sheetName val="Income Analysis"/>
      <sheetName val="Trade Shows"/>
      <sheetName val="Client Information"/>
    </sheetNames>
    <sheetDataSet>
      <sheetData sheetId="0" refreshError="1"/>
      <sheetData sheetId="1">
        <row r="4">
          <cell r="D4" t="str">
            <v>Tamiko</v>
          </cell>
        </row>
        <row r="5">
          <cell r="D5" t="str">
            <v>Yoshi</v>
          </cell>
        </row>
        <row r="6">
          <cell r="D6" t="str">
            <v>3250 N. Lincoln Dr.</v>
          </cell>
        </row>
        <row r="7">
          <cell r="G7" t="str">
            <v>IL</v>
          </cell>
          <cell r="I7">
            <v>60612</v>
          </cell>
        </row>
        <row r="8">
          <cell r="D8" t="str">
            <v>(312) 555-2873</v>
          </cell>
          <cell r="G8" t="str">
            <v>t.yoshi@example.net</v>
          </cell>
        </row>
        <row r="26">
          <cell r="A26" t="str">
            <v>Other client</v>
          </cell>
        </row>
        <row r="27">
          <cell r="A27" t="str">
            <v>Print ad</v>
          </cell>
        </row>
        <row r="28">
          <cell r="A28" t="str">
            <v>Salesperson</v>
          </cell>
        </row>
        <row r="29">
          <cell r="A29" t="str">
            <v>Social media</v>
          </cell>
        </row>
        <row r="30">
          <cell r="A30" t="str">
            <v>TV ad</v>
          </cell>
        </row>
        <row r="31">
          <cell r="A31" t="str">
            <v>Website</v>
          </cell>
        </row>
      </sheetData>
      <sheetData sheetId="2" refreshError="1"/>
      <sheetData sheetId="3" refreshError="1"/>
      <sheetData sheetId="4" refreshError="1"/>
      <sheetData sheetId="5">
        <row r="5">
          <cell r="B5">
            <v>1488</v>
          </cell>
        </row>
        <row r="6">
          <cell r="B6">
            <v>199</v>
          </cell>
        </row>
      </sheetData>
      <sheetData sheetId="6">
        <row r="9">
          <cell r="B9">
            <v>0</v>
          </cell>
          <cell r="C9">
            <v>0</v>
          </cell>
          <cell r="D9">
            <v>0</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Local Offices"/>
      <sheetName val="California"/>
      <sheetName val="Oregon"/>
      <sheetName val="Washington"/>
      <sheetName val="Consolidated"/>
      <sheetName val="Spring"/>
      <sheetName val="Fall"/>
    </sheetNames>
    <sheetDataSet>
      <sheetData sheetId="0" refreshError="1"/>
      <sheetData sheetId="1">
        <row r="12">
          <cell r="D12">
            <v>56350</v>
          </cell>
        </row>
        <row r="18">
          <cell r="D18">
            <v>51050</v>
          </cell>
        </row>
      </sheetData>
      <sheetData sheetId="2" refreshError="1"/>
      <sheetData sheetId="3" refreshError="1"/>
      <sheetData sheetId="4" refreshError="1"/>
      <sheetData sheetId="5" refreshError="1"/>
      <sheetData sheetId="6" refreshError="1"/>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our Name" refreshedDate="43694.496054050927" createdVersion="5" refreshedVersion="5" minRefreshableVersion="3" recordCount="34" xr:uid="{00000000-000A-0000-FFFF-FFFF11000000}">
  <cacheSource type="worksheet">
    <worksheetSource name="Projects"/>
  </cacheSource>
  <cacheFields count="7">
    <cacheField name="Client ID" numFmtId="0">
      <sharedItems/>
    </cacheField>
    <cacheField name="Project Type" numFmtId="0">
      <sharedItems count="21">
        <s v="Attenuators"/>
        <s v="Signage"/>
        <s v="Grade crossing"/>
        <s v="Erosion control"/>
        <s v="Noise abatement"/>
        <s v="Cold planing"/>
        <s v="Abutments"/>
        <s v="Off-road rest area"/>
        <s v="Hydraulic fill"/>
        <s v="Patching"/>
        <s v="Ramps"/>
        <s v="Seal coating"/>
        <s v="Highway grading"/>
        <s v="Grade separation"/>
        <s v="Curbing"/>
        <s v="Shoulders"/>
        <s v="Median strip"/>
        <s v="Resurfacing"/>
        <s v="Grading"/>
        <s v="Road surfacing"/>
        <s v="Pavement grooving"/>
      </sharedItems>
    </cacheField>
    <cacheField name="Category" numFmtId="0">
      <sharedItems count="5">
        <s v="Highway"/>
        <s v="Bridge"/>
        <s v="Site development"/>
        <s v="Paving"/>
        <s v="Site enhancement"/>
      </sharedItems>
    </cacheField>
    <cacheField name="State" numFmtId="0">
      <sharedItems count="5">
        <s v="NE"/>
        <s v="WY"/>
        <s v="SD"/>
        <s v="ND"/>
        <s v="MT"/>
      </sharedItems>
    </cacheField>
    <cacheField name="Project Start" numFmtId="14">
      <sharedItems containsSemiMixedTypes="0" containsNonDate="0" containsDate="1" containsString="0" minDate="2021-01-12T00:00:00" maxDate="2021-06-27T00:00:00"/>
    </cacheField>
    <cacheField name="Estimate" numFmtId="164">
      <sharedItems containsSemiMixedTypes="0" containsString="0" containsNumber="1" containsInteger="1" minValue="14500" maxValue="107654"/>
    </cacheField>
    <cacheField name="Paid to Date" numFmtId="164">
      <sharedItems containsSemiMixedTypes="0" containsString="0" containsNumber="1" containsInteger="1" minValue="2000" maxValue="7235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refreshedDate="44768.45061388889" createdVersion="5" refreshedVersion="8" minRefreshableVersion="3" recordCount="34" xr:uid="{00000000-000A-0000-FFFF-FFFF10000000}">
  <cacheSource type="worksheet">
    <worksheetSource name="Projects"/>
  </cacheSource>
  <cacheFields count="9">
    <cacheField name="Client ID" numFmtId="0">
      <sharedItems count="16">
        <s v="W-0338"/>
        <s v="W-0341"/>
        <s v="W-0277"/>
        <s v="W-0344"/>
        <s v="W-0290"/>
        <s v="W-0185"/>
        <s v="W-0322"/>
        <s v="W-0327"/>
        <s v="W-0332"/>
        <s v="W-0364"/>
        <s v="W-0132"/>
        <s v="W-0358"/>
        <s v="W-0284"/>
        <s v="W-0360"/>
        <s v="W-0379"/>
        <s v="W-0410"/>
      </sharedItems>
    </cacheField>
    <cacheField name="Project Type" numFmtId="0">
      <sharedItems/>
    </cacheField>
    <cacheField name="Category" numFmtId="0">
      <sharedItems count="5">
        <s v="Highway"/>
        <s v="Bridge"/>
        <s v="Site development"/>
        <s v="Paving"/>
        <s v="Site enhancement" u="1"/>
      </sharedItems>
    </cacheField>
    <cacheField name="State" numFmtId="0">
      <sharedItems count="5">
        <s v="NE"/>
        <s v="WY"/>
        <s v="SD"/>
        <s v="ND"/>
        <s v="MT"/>
      </sharedItems>
    </cacheField>
    <cacheField name="Project Start" numFmtId="14">
      <sharedItems containsSemiMixedTypes="0" containsNonDate="0" containsDate="1" containsString="0" minDate="2021-01-12T00:00:00" maxDate="2021-06-27T00:00:00" count="29">
        <d v="2021-01-12T00:00:00"/>
        <d v="2021-01-20T00:00:00"/>
        <d v="2021-02-16T00:00:00"/>
        <d v="2021-02-22T00:00:00"/>
        <d v="2021-03-01T00:00:00"/>
        <d v="2021-03-12T00:00:00"/>
        <d v="2021-03-20T00:00:00"/>
        <d v="2021-03-23T00:00:00"/>
        <d v="2021-03-24T00:00:00"/>
        <d v="2021-03-30T00:00:00"/>
        <d v="2021-04-02T00:00:00"/>
        <d v="2021-04-05T00:00:00"/>
        <d v="2021-04-14T00:00:00"/>
        <d v="2021-04-16T00:00:00"/>
        <d v="2021-04-17T00:00:00"/>
        <d v="2021-04-23T00:00:00"/>
        <d v="2021-05-02T00:00:00"/>
        <d v="2021-05-10T00:00:00"/>
        <d v="2021-05-14T00:00:00"/>
        <d v="2021-05-26T00:00:00"/>
        <d v="2021-05-30T00:00:00"/>
        <d v="2021-06-01T00:00:00"/>
        <d v="2021-06-03T00:00:00"/>
        <d v="2021-06-06T00:00:00"/>
        <d v="2021-06-12T00:00:00"/>
        <d v="2021-06-17T00:00:00"/>
        <d v="2021-06-20T00:00:00"/>
        <d v="2021-06-24T00:00:00"/>
        <d v="2021-06-26T00:00:00"/>
      </sharedItems>
      <fieldGroup base="4">
        <rangePr groupBy="months" startDate="2021-01-12T00:00:00" endDate="2021-06-27T00:00:00"/>
        <groupItems count="14">
          <s v="&lt;1/12/2021"/>
          <s v="Jan"/>
          <s v="Feb"/>
          <s v="Mar"/>
          <s v="Apr"/>
          <s v="May"/>
          <s v="Jun"/>
          <s v="Jul"/>
          <s v="Aug"/>
          <s v="Sep"/>
          <s v="Oct"/>
          <s v="Nov"/>
          <s v="Dec"/>
          <s v="&gt;6/27/2021"/>
        </groupItems>
      </fieldGroup>
    </cacheField>
    <cacheField name="Estimate" numFmtId="164">
      <sharedItems containsSemiMixedTypes="0" containsString="0" containsNumber="1" containsInteger="1" minValue="14500" maxValue="107654"/>
    </cacheField>
    <cacheField name="Paid to Date" numFmtId="164">
      <sharedItems containsSemiMixedTypes="0" containsString="0" containsNumber="1" containsInteger="1" minValue="2000" maxValue="72358"/>
    </cacheField>
    <cacheField name="Amt Owed" numFmtId="0" formula="Estimate-'Paid to Date'" databaseField="0"/>
    <cacheField name="% Difference" numFmtId="0" formula=" (Estimate-'Paid to Date')/Estimate" databaseField="0"/>
  </cacheFields>
  <extLst>
    <ext xmlns:x14="http://schemas.microsoft.com/office/spreadsheetml/2009/9/main" uri="{725AE2AE-9491-48be-B2B4-4EB974FC3084}">
      <x14:pivotCacheDefinition pivotCacheId="873178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teven" refreshedDate="44768.468461226854" createdVersion="5" refreshedVersion="8" minRefreshableVersion="3" recordCount="0" supportSubquery="1" supportAdvancedDrill="1" xr:uid="{14504078-932F-4745-A6A4-A62CE0159D2B}">
  <cacheSource type="external" connectionId="4"/>
  <cacheFields count="3">
    <cacheField name="[Offices].[OfficeCity].[OfficeCity]" caption="OfficeCity" numFmtId="0" hierarchy="8" level="1">
      <sharedItems count="5">
        <s v="Bismarck"/>
        <s v="Cheyenne"/>
        <s v="Missoula"/>
        <s v="Omaha"/>
        <s v="Sioux Falls"/>
      </sharedItems>
    </cacheField>
    <cacheField name="[Measures].[Count of Title]" caption="Count of Title" numFmtId="0" hierarchy="18" level="32767"/>
    <cacheField name="[Measures].[Average of YearsEmployed]" caption="Average of YearsEmployed" numFmtId="0" hierarchy="19" level="32767"/>
  </cacheFields>
  <cacheHierarchies count="20">
    <cacheHierarchy uniqueName="[Employees].[EmpID]" caption="EmpID" attribute="1" defaultMemberUniqueName="[Employees].[EmpID].[All]" allUniqueName="[Employees].[EmpID].[All]" dimensionUniqueName="[Employees]" displayFolder="" count="0" memberValueDatatype="130" unbalanced="0"/>
    <cacheHierarchy uniqueName="[Employees].[OfficeID]" caption="OfficeID" attribute="1" defaultMemberUniqueName="[Employees].[OfficeID].[All]" allUniqueName="[Employees].[OfficeID].[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YearsEmployed]" caption="YearsEmployed" attribute="1" defaultMemberUniqueName="[Employees].[YearsEmployed].[All]" allUniqueName="[Employees].[YearsEmployed].[All]" dimensionUniqueName="[Employees]" displayFolder="" count="0" memberValueDatatype="5" unbalanced="0"/>
    <cacheHierarchy uniqueName="[Offices].[OfficeID]" caption="OfficeID" attribute="1" defaultMemberUniqueName="[Offices].[OfficeID].[All]" allUniqueName="[Offices].[OfficeID].[All]" dimensionUniqueName="[Offices]" displayFolder="" count="0" memberValueDatatype="130" unbalanced="0"/>
    <cacheHierarchy uniqueName="[Offices].[OfficeAddress]" caption="OfficeAddress" attribute="1" defaultMemberUniqueName="[Offices].[OfficeAddress].[All]" allUniqueName="[Offices].[OfficeAddress].[All]" dimensionUniqueName="[Offices]" displayFolder="" count="0" memberValueDatatype="130" unbalanced="0"/>
    <cacheHierarchy uniqueName="[Offices].[OfficeCity]" caption="OfficeCity" attribute="1" defaultMemberUniqueName="[Offices].[OfficeCity].[All]" allUniqueName="[Offices].[OfficeCity].[All]" dimensionUniqueName="[Offices]" displayFolder="" count="2" memberValueDatatype="130" unbalanced="0">
      <fieldsUsage count="2">
        <fieldUsage x="-1"/>
        <fieldUsage x="0"/>
      </fieldsUsage>
    </cacheHierarchy>
    <cacheHierarchy uniqueName="[Offices].[OfficeState]" caption="OfficeState" attribute="1" defaultMemberUniqueName="[Offices].[OfficeState].[All]" allUniqueName="[Offices].[OfficeState].[All]" dimensionUniqueName="[Offices]" displayFolder="" count="0" memberValueDatatype="130" unbalanced="0"/>
    <cacheHierarchy uniqueName="[Offices].[OfficeZIP]" caption="OfficeZIP" attribute="1" defaultMemberUniqueName="[Offices].[OfficeZIP].[All]" allUniqueName="[Offices].[OfficeZIP].[All]" dimensionUniqueName="[Offices]" displayFolder="" count="0" memberValueDatatype="130" unbalanced="0"/>
    <cacheHierarchy uniqueName="[Offices].[OfficePhone]" caption="OfficePhone" attribute="1" defaultMemberUniqueName="[Offices].[OfficePhone].[All]" allUniqueName="[Offices].[OfficePhone].[All]" dimensionUniqueName="[Offices]" displayFolder="" count="0" memberValueDatatype="130" unbalanced="0"/>
    <cacheHierarchy uniqueName="[Offices].[OfficeManager]" caption="OfficeManager" attribute="1" defaultMemberUniqueName="[Offices].[OfficeManager].[All]" allUniqueName="[Offices].[OfficeManager].[All]" dimensionUniqueName="[Offices]" displayFolder="" count="0" memberValueDatatype="130" unbalanced="0"/>
    <cacheHierarchy uniqueName="[Offices].[OfficeEst]" caption="OfficeEst" attribute="1" defaultMemberUniqueName="[Offices].[OfficeEst].[All]" allUniqueName="[Offices].[OfficeEst].[All]" dimensionUniqueName="[Offices]" displayFolder="" count="0" memberValueDatatype="130" unbalanced="0"/>
    <cacheHierarchy uniqueName="[Measures].[__XL_Count Employees]" caption="__XL_Count Employees" measure="1" displayFolder="" measureGroup="Employees" count="0" hidden="1"/>
    <cacheHierarchy uniqueName="[Measures].[__XL_Count Offices]" caption="__XL_Count Offices" measure="1" displayFolder="" measureGroup="Offices" count="0" hidden="1"/>
    <cacheHierarchy uniqueName="[Measures].[__No measures defined]" caption="__No measures defined" measure="1" displayFolder="" count="0" hidden="1"/>
    <cacheHierarchy uniqueName="[Measures].[Sum of YearsEmployed]" caption="Sum of YearsEmployed" measure="1" displayFolder="" measureGroup="Employees" count="0" hidden="1">
      <extLst>
        <ext xmlns:x15="http://schemas.microsoft.com/office/spreadsheetml/2010/11/main" uri="{B97F6D7D-B522-45F9-BDA1-12C45D357490}">
          <x15:cacheHierarchy aggregatedColumn="5"/>
        </ext>
      </extLst>
    </cacheHierarchy>
    <cacheHierarchy uniqueName="[Measures].[Count of Title]" caption="Count of Title" measure="1" displayFolder="" measureGroup="Employees" count="0" oneField="1" hidden="1">
      <fieldsUsage count="1">
        <fieldUsage x="1"/>
      </fieldsUsage>
      <extLst>
        <ext xmlns:x15="http://schemas.microsoft.com/office/spreadsheetml/2010/11/main" uri="{B97F6D7D-B522-45F9-BDA1-12C45D357490}">
          <x15:cacheHierarchy aggregatedColumn="2"/>
        </ext>
      </extLst>
    </cacheHierarchy>
    <cacheHierarchy uniqueName="[Measures].[Average of YearsEmployed]" caption="Average of YearsEmployed" measure="1" displayFolder="" measureGroup="Employees" count="0" oneField="1" hidden="1">
      <fieldsUsage count="1">
        <fieldUsage x="2"/>
      </fieldsUsage>
      <extLst>
        <ext xmlns:x15="http://schemas.microsoft.com/office/spreadsheetml/2010/11/main" uri="{B97F6D7D-B522-45F9-BDA1-12C45D357490}">
          <x15:cacheHierarchy aggregatedColumn="5"/>
        </ext>
      </extLst>
    </cacheHierarchy>
  </cacheHierarchies>
  <kpis count="0"/>
  <dimensions count="3">
    <dimension name="Employees" uniqueName="[Employees]" caption="Employees"/>
    <dimension measure="1" name="Measures" uniqueName="[Measures]" caption="Measures"/>
    <dimension name="Offices" uniqueName="[Offices]" caption="Offices"/>
  </dimensions>
  <measureGroups count="2">
    <measureGroup name="Employees" caption="Employees"/>
    <measureGroup name="Offices" caption="Offices"/>
  </measureGroups>
  <maps count="3">
    <map measureGroup="0" dimension="0"/>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s v="W-0338"/>
    <x v="0"/>
    <x v="0"/>
    <x v="0"/>
    <d v="2021-01-12T00:00:00"/>
    <n v="30562"/>
    <n v="30562"/>
  </r>
  <r>
    <s v="W-0341"/>
    <x v="1"/>
    <x v="0"/>
    <x v="0"/>
    <d v="2021-01-20T00:00:00"/>
    <n v="14500"/>
    <n v="12000"/>
  </r>
  <r>
    <s v="W-0277"/>
    <x v="2"/>
    <x v="1"/>
    <x v="1"/>
    <d v="2021-02-16T00:00:00"/>
    <n v="54672"/>
    <n v="50000"/>
  </r>
  <r>
    <s v="W-0290"/>
    <x v="3"/>
    <x v="2"/>
    <x v="0"/>
    <d v="2021-02-22T00:00:00"/>
    <n v="107654"/>
    <n v="57654"/>
  </r>
  <r>
    <s v="W-0344"/>
    <x v="4"/>
    <x v="2"/>
    <x v="2"/>
    <d v="2021-02-22T00:00:00"/>
    <n v="38750"/>
    <n v="30000"/>
  </r>
  <r>
    <s v="W-0185"/>
    <x v="5"/>
    <x v="3"/>
    <x v="3"/>
    <d v="2021-03-01T00:00:00"/>
    <n v="48932"/>
    <n v="45932"/>
  </r>
  <r>
    <s v="W-0338"/>
    <x v="6"/>
    <x v="1"/>
    <x v="0"/>
    <d v="2021-03-12T00:00:00"/>
    <n v="72358"/>
    <n v="72358"/>
  </r>
  <r>
    <s v="W-0322"/>
    <x v="7"/>
    <x v="2"/>
    <x v="1"/>
    <d v="2021-03-20T00:00:00"/>
    <n v="24505"/>
    <n v="24505"/>
  </r>
  <r>
    <s v="W-0290"/>
    <x v="8"/>
    <x v="4"/>
    <x v="0"/>
    <d v="2021-03-23T00:00:00"/>
    <n v="34756"/>
    <n v="34756"/>
  </r>
  <r>
    <s v="W-0327"/>
    <x v="9"/>
    <x v="3"/>
    <x v="3"/>
    <d v="2021-03-24T00:00:00"/>
    <n v="68900"/>
    <n v="34900"/>
  </r>
  <r>
    <s v="W-0332"/>
    <x v="10"/>
    <x v="3"/>
    <x v="4"/>
    <d v="2021-03-30T00:00:00"/>
    <n v="42350"/>
    <n v="4250"/>
  </r>
  <r>
    <s v="W-0338"/>
    <x v="11"/>
    <x v="3"/>
    <x v="0"/>
    <d v="2021-04-02T00:00:00"/>
    <n v="27800"/>
    <n v="17000"/>
  </r>
  <r>
    <s v="W-0364"/>
    <x v="11"/>
    <x v="3"/>
    <x v="2"/>
    <d v="2021-04-02T00:00:00"/>
    <n v="28500"/>
    <n v="28500"/>
  </r>
  <r>
    <s v="W-0132"/>
    <x v="12"/>
    <x v="3"/>
    <x v="4"/>
    <d v="2021-04-05T00:00:00"/>
    <n v="70347"/>
    <n v="30400"/>
  </r>
  <r>
    <s v="W-0277"/>
    <x v="13"/>
    <x v="1"/>
    <x v="1"/>
    <d v="2021-04-05T00:00:00"/>
    <n v="19576"/>
    <n v="10576"/>
  </r>
  <r>
    <s v="W-0185"/>
    <x v="14"/>
    <x v="3"/>
    <x v="3"/>
    <d v="2021-04-14T00:00:00"/>
    <n v="78400"/>
    <n v="38400"/>
  </r>
  <r>
    <s v="W-0332"/>
    <x v="9"/>
    <x v="3"/>
    <x v="4"/>
    <d v="2021-04-16T00:00:00"/>
    <n v="76320"/>
    <n v="16320"/>
  </r>
  <r>
    <s v="W-0358"/>
    <x v="15"/>
    <x v="3"/>
    <x v="4"/>
    <d v="2021-04-16T00:00:00"/>
    <n v="52050"/>
    <n v="12050"/>
  </r>
  <r>
    <s v="W-0284"/>
    <x v="16"/>
    <x v="0"/>
    <x v="2"/>
    <d v="2021-04-17T00:00:00"/>
    <n v="56890"/>
    <n v="6000"/>
  </r>
  <r>
    <s v="W-0360"/>
    <x v="17"/>
    <x v="3"/>
    <x v="0"/>
    <d v="2021-04-23T00:00:00"/>
    <n v="34560"/>
    <n v="17000"/>
  </r>
  <r>
    <s v="W-0322"/>
    <x v="18"/>
    <x v="2"/>
    <x v="1"/>
    <d v="2021-05-02T00:00:00"/>
    <n v="19750"/>
    <n v="2000"/>
  </r>
  <r>
    <s v="W-0185"/>
    <x v="9"/>
    <x v="3"/>
    <x v="3"/>
    <d v="2021-05-10T00:00:00"/>
    <n v="34566"/>
    <n v="24000"/>
  </r>
  <r>
    <s v="W-0332"/>
    <x v="6"/>
    <x v="1"/>
    <x v="4"/>
    <d v="2021-05-14T00:00:00"/>
    <n v="29800"/>
    <n v="20000"/>
  </r>
  <r>
    <s v="W-0284"/>
    <x v="0"/>
    <x v="0"/>
    <x v="2"/>
    <d v="2021-05-14T00:00:00"/>
    <n v="24528"/>
    <n v="2400"/>
  </r>
  <r>
    <s v="W-0379"/>
    <x v="1"/>
    <x v="0"/>
    <x v="3"/>
    <d v="2021-05-26T00:00:00"/>
    <n v="18500"/>
    <n v="18500"/>
  </r>
  <r>
    <s v="W-0344"/>
    <x v="3"/>
    <x v="2"/>
    <x v="2"/>
    <d v="2021-05-30T00:00:00"/>
    <n v="85437"/>
    <n v="43000"/>
  </r>
  <r>
    <s v="W-0338"/>
    <x v="14"/>
    <x v="3"/>
    <x v="0"/>
    <d v="2021-06-01T00:00:00"/>
    <n v="82350"/>
    <n v="40000"/>
  </r>
  <r>
    <s v="W-0358"/>
    <x v="0"/>
    <x v="0"/>
    <x v="4"/>
    <d v="2021-06-03T00:00:00"/>
    <n v="31250"/>
    <n v="11250"/>
  </r>
  <r>
    <s v="W-0277"/>
    <x v="10"/>
    <x v="3"/>
    <x v="1"/>
    <d v="2021-06-06T00:00:00"/>
    <n v="75250"/>
    <n v="7500"/>
  </r>
  <r>
    <s v="W-0338"/>
    <x v="19"/>
    <x v="3"/>
    <x v="0"/>
    <d v="2021-06-12T00:00:00"/>
    <n v="100350"/>
    <n v="10350"/>
  </r>
  <r>
    <s v="W-0290"/>
    <x v="4"/>
    <x v="2"/>
    <x v="0"/>
    <d v="2021-06-17T00:00:00"/>
    <n v="34582"/>
    <n v="14582"/>
  </r>
  <r>
    <s v="W-0344"/>
    <x v="18"/>
    <x v="2"/>
    <x v="2"/>
    <d v="2021-06-20T00:00:00"/>
    <n v="44500"/>
    <n v="20500"/>
  </r>
  <r>
    <s v="W-0185"/>
    <x v="0"/>
    <x v="0"/>
    <x v="3"/>
    <d v="2021-06-24T00:00:00"/>
    <n v="82300"/>
    <n v="42000"/>
  </r>
  <r>
    <s v="W-0410"/>
    <x v="20"/>
    <x v="3"/>
    <x v="0"/>
    <d v="2021-06-26T00:00:00"/>
    <n v="37650"/>
    <n v="17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s v="Attenuators"/>
    <x v="0"/>
    <x v="0"/>
    <x v="0"/>
    <n v="30562"/>
    <n v="30562"/>
  </r>
  <r>
    <x v="1"/>
    <s v="Signage"/>
    <x v="0"/>
    <x v="0"/>
    <x v="1"/>
    <n v="14500"/>
    <n v="12000"/>
  </r>
  <r>
    <x v="2"/>
    <s v="Grade crossing"/>
    <x v="1"/>
    <x v="1"/>
    <x v="2"/>
    <n v="54672"/>
    <n v="50000"/>
  </r>
  <r>
    <x v="3"/>
    <s v="Noise abatement"/>
    <x v="2"/>
    <x v="2"/>
    <x v="3"/>
    <n v="38750"/>
    <n v="30000"/>
  </r>
  <r>
    <x v="4"/>
    <s v="Erosion control"/>
    <x v="2"/>
    <x v="0"/>
    <x v="3"/>
    <n v="107654"/>
    <n v="57654"/>
  </r>
  <r>
    <x v="5"/>
    <s v="Cold planing"/>
    <x v="3"/>
    <x v="3"/>
    <x v="4"/>
    <n v="48932"/>
    <n v="45932"/>
  </r>
  <r>
    <x v="0"/>
    <s v="Abutments"/>
    <x v="1"/>
    <x v="0"/>
    <x v="5"/>
    <n v="72358"/>
    <n v="72358"/>
  </r>
  <r>
    <x v="6"/>
    <s v="Off-road rest area"/>
    <x v="2"/>
    <x v="1"/>
    <x v="6"/>
    <n v="24505"/>
    <n v="24505"/>
  </r>
  <r>
    <x v="4"/>
    <s v="Hydraulic fill"/>
    <x v="2"/>
    <x v="0"/>
    <x v="7"/>
    <n v="34756"/>
    <n v="34756"/>
  </r>
  <r>
    <x v="7"/>
    <s v="Patching"/>
    <x v="3"/>
    <x v="3"/>
    <x v="8"/>
    <n v="68900"/>
    <n v="34900"/>
  </r>
  <r>
    <x v="8"/>
    <s v="Ramps"/>
    <x v="3"/>
    <x v="4"/>
    <x v="9"/>
    <n v="42350"/>
    <n v="4250"/>
  </r>
  <r>
    <x v="0"/>
    <s v="Seal coating"/>
    <x v="3"/>
    <x v="0"/>
    <x v="10"/>
    <n v="27800"/>
    <n v="17000"/>
  </r>
  <r>
    <x v="9"/>
    <s v="Seal coating"/>
    <x v="3"/>
    <x v="2"/>
    <x v="10"/>
    <n v="28500"/>
    <n v="28500"/>
  </r>
  <r>
    <x v="2"/>
    <s v="Grade separation"/>
    <x v="1"/>
    <x v="1"/>
    <x v="11"/>
    <n v="19576"/>
    <n v="10576"/>
  </r>
  <r>
    <x v="10"/>
    <s v="Highway grading"/>
    <x v="3"/>
    <x v="4"/>
    <x v="11"/>
    <n v="70347"/>
    <n v="30400"/>
  </r>
  <r>
    <x v="5"/>
    <s v="Curbing"/>
    <x v="3"/>
    <x v="3"/>
    <x v="12"/>
    <n v="78400"/>
    <n v="38400"/>
  </r>
  <r>
    <x v="11"/>
    <s v="Shoulders"/>
    <x v="3"/>
    <x v="4"/>
    <x v="13"/>
    <n v="52050"/>
    <n v="12050"/>
  </r>
  <r>
    <x v="8"/>
    <s v="Patching"/>
    <x v="3"/>
    <x v="4"/>
    <x v="13"/>
    <n v="76320"/>
    <n v="16320"/>
  </r>
  <r>
    <x v="12"/>
    <s v="Median strip"/>
    <x v="0"/>
    <x v="2"/>
    <x v="14"/>
    <n v="56890"/>
    <n v="6000"/>
  </r>
  <r>
    <x v="13"/>
    <s v="Resurfacing"/>
    <x v="3"/>
    <x v="0"/>
    <x v="15"/>
    <n v="34560"/>
    <n v="17000"/>
  </r>
  <r>
    <x v="6"/>
    <s v="Grading"/>
    <x v="2"/>
    <x v="1"/>
    <x v="16"/>
    <n v="19750"/>
    <n v="2000"/>
  </r>
  <r>
    <x v="5"/>
    <s v="Patching"/>
    <x v="3"/>
    <x v="3"/>
    <x v="17"/>
    <n v="34566"/>
    <n v="24000"/>
  </r>
  <r>
    <x v="12"/>
    <s v="Attenuators"/>
    <x v="0"/>
    <x v="2"/>
    <x v="18"/>
    <n v="24528"/>
    <n v="2400"/>
  </r>
  <r>
    <x v="8"/>
    <s v="Abutments"/>
    <x v="1"/>
    <x v="4"/>
    <x v="18"/>
    <n v="29800"/>
    <n v="20000"/>
  </r>
  <r>
    <x v="14"/>
    <s v="Signage"/>
    <x v="0"/>
    <x v="3"/>
    <x v="19"/>
    <n v="18500"/>
    <n v="18500"/>
  </r>
  <r>
    <x v="3"/>
    <s v="Erosion control"/>
    <x v="2"/>
    <x v="2"/>
    <x v="20"/>
    <n v="85437"/>
    <n v="43000"/>
  </r>
  <r>
    <x v="0"/>
    <s v="Curbing"/>
    <x v="3"/>
    <x v="0"/>
    <x v="21"/>
    <n v="82350"/>
    <n v="40000"/>
  </r>
  <r>
    <x v="11"/>
    <s v="Attenuators"/>
    <x v="0"/>
    <x v="4"/>
    <x v="22"/>
    <n v="31250"/>
    <n v="11250"/>
  </r>
  <r>
    <x v="2"/>
    <s v="Ramps"/>
    <x v="3"/>
    <x v="1"/>
    <x v="23"/>
    <n v="75250"/>
    <n v="7500"/>
  </r>
  <r>
    <x v="0"/>
    <s v="Road surfacing"/>
    <x v="3"/>
    <x v="0"/>
    <x v="24"/>
    <n v="100350"/>
    <n v="10350"/>
  </r>
  <r>
    <x v="4"/>
    <s v="Noise abatement"/>
    <x v="2"/>
    <x v="0"/>
    <x v="25"/>
    <n v="34582"/>
    <n v="14582"/>
  </r>
  <r>
    <x v="3"/>
    <s v="Grading"/>
    <x v="2"/>
    <x v="2"/>
    <x v="26"/>
    <n v="44500"/>
    <n v="20500"/>
  </r>
  <r>
    <x v="5"/>
    <s v="Attenuators"/>
    <x v="0"/>
    <x v="3"/>
    <x v="27"/>
    <n v="82300"/>
    <n v="42000"/>
  </r>
  <r>
    <x v="15"/>
    <s v="Pavement grooving"/>
    <x v="3"/>
    <x v="0"/>
    <x v="28"/>
    <n v="37650"/>
    <n v="17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1" applyNumberFormats="0" applyBorderFormats="0" applyFontFormats="0" applyPatternFormats="0" applyAlignmentFormats="0" applyWidthHeightFormats="1" dataCaption="Values" updatedVersion="8" minRefreshableVersion="5" useAutoFormatting="1" itemPrintTitles="1" createdVersion="5" indent="0" compact="0" outline="1" outlineData="1" compactData="0" multipleFieldFilters="0" rowHeaderCaption="State" colHeaderCaption="Category">
  <location ref="A3:G32" firstHeaderRow="1" firstDataRow="2" firstDataCol="2"/>
  <pivotFields count="9">
    <pivotField compact="0" showAll="0"/>
    <pivotField compact="0" showAll="0"/>
    <pivotField axis="axisCol" compact="0" showAll="0">
      <items count="6">
        <item x="1"/>
        <item x="0"/>
        <item x="3"/>
        <item x="2"/>
        <item m="1" x="4"/>
        <item t="default"/>
      </items>
    </pivotField>
    <pivotField axis="axisRow" compact="0" showAll="0">
      <items count="6">
        <item x="4"/>
        <item x="3"/>
        <item x="0"/>
        <item x="2"/>
        <item x="1"/>
        <item t="default"/>
      </items>
    </pivotField>
    <pivotField axis="axisRow" compact="0" numFmtId="14" showAll="0">
      <items count="15">
        <item x="0"/>
        <item x="1"/>
        <item x="2"/>
        <item x="3"/>
        <item x="4"/>
        <item x="5"/>
        <item x="6"/>
        <item x="7"/>
        <item x="8"/>
        <item x="9"/>
        <item x="10"/>
        <item x="11"/>
        <item x="12"/>
        <item x="13"/>
        <item t="default"/>
      </items>
    </pivotField>
    <pivotField dataField="1" compact="0" numFmtId="164" showAll="0"/>
    <pivotField compact="0" numFmtId="164" showAll="0"/>
    <pivotField compact="0" dragToRow="0" dragToCol="0" dragToPage="0" showAll="0" defaultSubtotal="0"/>
    <pivotField compact="0" dragToRow="0" dragToCol="0" dragToPage="0" showAll="0" defaultSubtotal="0"/>
  </pivotFields>
  <rowFields count="2">
    <field x="3"/>
    <field x="4"/>
  </rowFields>
  <rowItems count="28">
    <i>
      <x/>
    </i>
    <i r="1">
      <x v="3"/>
    </i>
    <i r="1">
      <x v="4"/>
    </i>
    <i r="1">
      <x v="5"/>
    </i>
    <i r="1">
      <x v="6"/>
    </i>
    <i>
      <x v="1"/>
    </i>
    <i r="1">
      <x v="3"/>
    </i>
    <i r="1">
      <x v="4"/>
    </i>
    <i r="1">
      <x v="5"/>
    </i>
    <i r="1">
      <x v="6"/>
    </i>
    <i>
      <x v="2"/>
    </i>
    <i r="1">
      <x v="1"/>
    </i>
    <i r="1">
      <x v="2"/>
    </i>
    <i r="1">
      <x v="3"/>
    </i>
    <i r="1">
      <x v="4"/>
    </i>
    <i r="1">
      <x v="6"/>
    </i>
    <i>
      <x v="3"/>
    </i>
    <i r="1">
      <x v="2"/>
    </i>
    <i r="1">
      <x v="4"/>
    </i>
    <i r="1">
      <x v="5"/>
    </i>
    <i r="1">
      <x v="6"/>
    </i>
    <i>
      <x v="4"/>
    </i>
    <i r="1">
      <x v="2"/>
    </i>
    <i r="1">
      <x v="3"/>
    </i>
    <i r="1">
      <x v="4"/>
    </i>
    <i r="1">
      <x v="5"/>
    </i>
    <i r="1">
      <x v="6"/>
    </i>
    <i t="grand">
      <x/>
    </i>
  </rowItems>
  <colFields count="1">
    <field x="2"/>
  </colFields>
  <colItems count="5">
    <i>
      <x/>
    </i>
    <i>
      <x v="1"/>
    </i>
    <i>
      <x v="2"/>
    </i>
    <i>
      <x v="3"/>
    </i>
    <i t="grand">
      <x/>
    </i>
  </colItems>
  <dataFields count="1">
    <dataField name="Estimates" fld="5" baseField="3" baseItem="0" numFmtId="164"/>
  </dataFields>
  <formats count="7">
    <format dxfId="14">
      <pivotArea collapsedLevelsAreSubtotals="1" fieldPosition="0">
        <references count="2">
          <reference field="2" count="0" selected="0"/>
          <reference field="3" count="1">
            <x v="0"/>
          </reference>
        </references>
      </pivotArea>
    </format>
    <format dxfId="13">
      <pivotArea collapsedLevelsAreSubtotals="1" fieldPosition="0">
        <references count="2">
          <reference field="2" count="0" selected="0"/>
          <reference field="3" count="1">
            <x v="1"/>
          </reference>
        </references>
      </pivotArea>
    </format>
    <format dxfId="12">
      <pivotArea collapsedLevelsAreSubtotals="1" fieldPosition="0">
        <references count="2">
          <reference field="2" count="0" selected="0"/>
          <reference field="3" count="1">
            <x v="2"/>
          </reference>
        </references>
      </pivotArea>
    </format>
    <format dxfId="11">
      <pivotArea collapsedLevelsAreSubtotals="1" fieldPosition="0">
        <references count="2">
          <reference field="2" count="0" selected="0"/>
          <reference field="3" count="1">
            <x v="3"/>
          </reference>
        </references>
      </pivotArea>
    </format>
    <format dxfId="10">
      <pivotArea collapsedLevelsAreSubtotals="1" fieldPosition="0">
        <references count="2">
          <reference field="2" count="0" selected="0"/>
          <reference field="3" count="1">
            <x v="4"/>
          </reference>
        </references>
      </pivotArea>
    </format>
    <format dxfId="9">
      <pivotArea outline="0" collapsedLevelsAreSubtotals="1" fieldPosition="0">
        <references count="1">
          <reference field="2" count="0" selected="0"/>
        </references>
      </pivotArea>
    </format>
    <format dxfId="8">
      <pivotArea grandCol="1" outline="0" collapsedLevelsAreSubtotals="1" fieldPosition="0"/>
    </format>
  </formats>
  <pivotTableStyleInfo name="PivotStyleMedium9" showRowHeaders="1" showColHeaders="1" showRowStripes="0" showColStripes="0" showLastColumn="1"/>
  <filters count="1">
    <filter fld="4" type="dateBetween" evalOrder="-1" id="5" name="Project Start">
      <autoFilter ref="A1">
        <filterColumn colId="0">
          <customFilters and="1">
            <customFilter operator="greaterThanOrEqual" val="44197"/>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rowHeaderCaption="Client">
  <location ref="A3:E16" firstHeaderRow="0" firstDataRow="1" firstDataCol="1"/>
  <pivotFields count="9">
    <pivotField axis="axisRow" showAll="0">
      <items count="17">
        <item x="10"/>
        <item x="5"/>
        <item x="2"/>
        <item x="12"/>
        <item x="4"/>
        <item x="6"/>
        <item x="7"/>
        <item x="8"/>
        <item x="0"/>
        <item x="1"/>
        <item x="3"/>
        <item x="11"/>
        <item x="13"/>
        <item x="9"/>
        <item x="14"/>
        <item x="15"/>
        <item t="default"/>
      </items>
    </pivotField>
    <pivotField showAll="0"/>
    <pivotField axis="axisRow" showAll="0">
      <items count="6">
        <item x="1"/>
        <item x="0"/>
        <item x="3"/>
        <item x="2"/>
        <item m="1" x="4"/>
        <item t="default"/>
      </items>
    </pivotField>
    <pivotField showAll="0">
      <items count="6">
        <item h="1" x="4"/>
        <item h="1" x="3"/>
        <item x="0"/>
        <item h="1" x="2"/>
        <item h="1" x="1"/>
        <item t="default"/>
      </items>
    </pivotField>
    <pivotField numFmtId="14" showAll="0">
      <items count="15">
        <item x="0"/>
        <item x="1"/>
        <item x="2"/>
        <item x="3"/>
        <item x="4"/>
        <item x="5"/>
        <item x="6"/>
        <item x="7"/>
        <item x="8"/>
        <item x="9"/>
        <item x="10"/>
        <item x="11"/>
        <item x="12"/>
        <item x="13"/>
        <item t="default"/>
      </items>
    </pivotField>
    <pivotField dataField="1" numFmtId="164" showAll="0"/>
    <pivotField dataField="1" numFmtId="164" showAll="0"/>
    <pivotField dataField="1" dragToRow="0" dragToCol="0" dragToPage="0" showAll="0" defaultSubtotal="0"/>
    <pivotField dataField="1" dragToRow="0" dragToCol="0" dragToPage="0" showAll="0" defaultSubtotal="0"/>
  </pivotFields>
  <rowFields count="2">
    <field x="0"/>
    <field x="2"/>
  </rowFields>
  <rowItems count="13">
    <i>
      <x v="4"/>
    </i>
    <i r="1">
      <x v="3"/>
    </i>
    <i>
      <x v="8"/>
    </i>
    <i r="1">
      <x/>
    </i>
    <i r="1">
      <x v="1"/>
    </i>
    <i r="1">
      <x v="2"/>
    </i>
    <i>
      <x v="9"/>
    </i>
    <i r="1">
      <x v="1"/>
    </i>
    <i>
      <x v="12"/>
    </i>
    <i r="1">
      <x v="2"/>
    </i>
    <i>
      <x v="15"/>
    </i>
    <i r="1">
      <x v="2"/>
    </i>
    <i t="grand">
      <x/>
    </i>
  </rowItems>
  <colFields count="1">
    <field x="-2"/>
  </colFields>
  <colItems count="4">
    <i>
      <x/>
    </i>
    <i i="1">
      <x v="1"/>
    </i>
    <i i="2">
      <x v="2"/>
    </i>
    <i i="3">
      <x v="3"/>
    </i>
  </colItems>
  <dataFields count="4">
    <dataField name="Estimate Total" fld="5" baseField="0" baseItem="0"/>
    <dataField name="Total Paid to Date" fld="6" baseField="0" baseItem="0"/>
    <dataField name="Amount Owed" fld="7" baseField="0" baseItem="0" numFmtId="164"/>
    <dataField name="% Owed" fld="8" baseField="0" baseItem="0" numFmtId="10"/>
  </dataFields>
  <formats count="5">
    <format dxfId="7">
      <pivotArea outline="0" collapsedLevelsAreSubtotals="1" fieldPosition="0"/>
    </format>
    <format dxfId="6">
      <pivotArea outline="0" collapsedLevelsAreSubtotals="1" fieldPosition="0"/>
    </format>
    <format dxfId="5">
      <pivotArea field="0" type="button" dataOnly="0" labelOnly="1" outline="0" axis="axisRow" fieldPosition="0"/>
    </format>
    <format dxfId="4">
      <pivotArea dataOnly="0" labelOnly="1" outline="0" fieldPosition="0">
        <references count="1">
          <reference field="4294967294" count="2">
            <x v="0"/>
            <x v="1"/>
          </reference>
        </references>
      </pivotArea>
    </format>
    <format dxfId="3">
      <pivotArea outline="0" fieldPosition="0">
        <references count="1">
          <reference field="4294967294" count="1">
            <x v="3"/>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3:G10" firstHeaderRow="1" firstDataRow="2" firstDataCol="1"/>
  <pivotFields count="7">
    <pivotField showAll="0"/>
    <pivotField showAll="0">
      <items count="22">
        <item x="6"/>
        <item x="0"/>
        <item x="5"/>
        <item x="14"/>
        <item x="3"/>
        <item x="2"/>
        <item x="13"/>
        <item x="18"/>
        <item x="12"/>
        <item x="8"/>
        <item x="16"/>
        <item x="4"/>
        <item x="7"/>
        <item x="9"/>
        <item x="20"/>
        <item x="10"/>
        <item x="17"/>
        <item x="19"/>
        <item x="11"/>
        <item x="15"/>
        <item x="1"/>
        <item t="default"/>
      </items>
    </pivotField>
    <pivotField axis="axisRow" showAll="0">
      <items count="6">
        <item sd="0" x="1"/>
        <item sd="0" x="0"/>
        <item sd="0" x="3"/>
        <item sd="0" x="2"/>
        <item sd="0" x="4"/>
        <item t="default" sd="0"/>
      </items>
    </pivotField>
    <pivotField axis="axisCol" showAll="0">
      <items count="6">
        <item x="4"/>
        <item x="3"/>
        <item x="0"/>
        <item x="2"/>
        <item x="1"/>
        <item t="default"/>
      </items>
    </pivotField>
    <pivotField numFmtId="14" showAll="0"/>
    <pivotField dataField="1" numFmtId="164" showAll="0"/>
    <pivotField numFmtId="164" showAll="0"/>
  </pivotFields>
  <rowFields count="1">
    <field x="2"/>
  </rowFields>
  <rowItems count="6">
    <i>
      <x/>
    </i>
    <i>
      <x v="1"/>
    </i>
    <i>
      <x v="2"/>
    </i>
    <i>
      <x v="3"/>
    </i>
    <i>
      <x v="4"/>
    </i>
    <i t="grand">
      <x/>
    </i>
  </rowItems>
  <colFields count="1">
    <field x="3"/>
  </colFields>
  <colItems count="6">
    <i>
      <x/>
    </i>
    <i>
      <x v="1"/>
    </i>
    <i>
      <x v="2"/>
    </i>
    <i>
      <x v="3"/>
    </i>
    <i>
      <x v="4"/>
    </i>
    <i t="grand">
      <x/>
    </i>
  </colItems>
  <dataFields count="1">
    <dataField name="Sum of Estimate" fld="5" baseField="0" baseItem="0" numFmtId="164"/>
  </dataFields>
  <formats count="1">
    <format dxfId="2">
      <pivotArea outline="0" collapsedLevelsAreSubtotals="1" fieldPosition="0"/>
    </format>
  </formats>
  <chartFormats count="5">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1"/>
          </reference>
        </references>
      </pivotArea>
    </chartFormat>
    <chartFormat chart="2" format="2" series="1">
      <pivotArea type="data" outline="0" fieldPosition="0">
        <references count="2">
          <reference field="4294967294" count="1" selected="0">
            <x v="0"/>
          </reference>
          <reference field="3" count="1" selected="0">
            <x v="2"/>
          </reference>
        </references>
      </pivotArea>
    </chartFormat>
    <chartFormat chart="2" format="3" series="1">
      <pivotArea type="data" outline="0" fieldPosition="0">
        <references count="2">
          <reference field="4294967294" count="1" selected="0">
            <x v="0"/>
          </reference>
          <reference field="3" count="1" selected="0">
            <x v="3"/>
          </reference>
        </references>
      </pivotArea>
    </chartFormat>
    <chartFormat chart="2"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97DB1D8-F11B-48CB-B07E-135A4F5D65CB}" name="PivotTable1" cacheId="2" applyNumberFormats="0" applyBorderFormats="0" applyFontFormats="0" applyPatternFormats="0" applyAlignmentFormats="0" applyWidthHeightFormats="1" dataCaption="Values" tag="62fa9cb4-3b81-469d-8134-91f6369af261" updatedVersion="8" minRefreshableVersion="3" useAutoFormatting="1" itemPrintTitles="1" createdVersion="5" indent="0" outline="1" outlineData="1" multipleFieldFilters="0">
  <location ref="A3:C9" firstHeaderRow="0"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2">
    <i>
      <x/>
    </i>
    <i i="1">
      <x v="1"/>
    </i>
  </colItems>
  <dataFields count="2">
    <dataField name="Count of Title" fld="1" subtotal="count" baseField="0" baseItem="0"/>
    <dataField name="Average of YearsEmployed" fld="2" subtotal="average" baseField="0" baseItem="0" numFmtId="168"/>
  </dataField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YearsEmployed"/>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s]"/>
        <x15:activeTabTopLevelEntity name="[Office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94948EBC-8CA9-4ECA-A06F-A2CF720996D0}" autoFormatId="16" applyNumberFormats="0" applyBorderFormats="0" applyFontFormats="0" applyPatternFormats="0" applyAlignmentFormats="0" applyWidthHeightFormats="0">
  <queryTableRefresh nextId="4">
    <queryTableFields count="3">
      <queryTableField id="1" name="Month" tableColumnId="1"/>
      <queryTableField id="2" name="Fiscal Year Order" tableColumnId="2"/>
      <queryTableField id="3" name="Sales ($mil)"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522796BF-D8FB-4CEB-8D39-30BBB4E51045}" sourceName="State">
  <pivotTables>
    <pivotTable tabId="4" name="PivotTable1"/>
  </pivotTables>
  <data>
    <tabular pivotCacheId="873178091">
      <items count="5">
        <i x="4"/>
        <i x="3"/>
        <i x="0" s="1"/>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23B47949-DDA6-4676-BE30-CF6C3F7D57CA}" cache="Slicer_State" caption="State" rowHeight="22542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ojects" displayName="Projects" ref="A3:G37" totalsRowShown="0" headerRowDxfId="19">
  <autoFilter ref="A3:G37" xr:uid="{00000000-0009-0000-0100-000001000000}"/>
  <sortState xmlns:xlrd2="http://schemas.microsoft.com/office/spreadsheetml/2017/richdata2" ref="A4:G37">
    <sortCondition ref="E3:E37"/>
  </sortState>
  <tableColumns count="7">
    <tableColumn id="1" xr3:uid="{00000000-0010-0000-0000-000001000000}" name="Client ID"/>
    <tableColumn id="2" xr3:uid="{00000000-0010-0000-0000-000002000000}" name="Project Type"/>
    <tableColumn id="3" xr3:uid="{00000000-0010-0000-0000-000003000000}" name="Category"/>
    <tableColumn id="4" xr3:uid="{00000000-0010-0000-0000-000004000000}" name="State" dataDxfId="18"/>
    <tableColumn id="5" xr3:uid="{00000000-0010-0000-0000-000005000000}" name="Project Start" dataDxfId="17"/>
    <tableColumn id="6" xr3:uid="{00000000-0010-0000-0000-000006000000}" name="Estimate" dataDxfId="16"/>
    <tableColumn id="7" xr3:uid="{00000000-0010-0000-0000-000007000000}" name="Paid to Date" dataDxfId="15"/>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3EF47-FC00-4347-8B04-E916FED7ADDF}" name="Support_EX19_CT_CS9_12c_Sales" displayName="Support_EX19_CT_CS9_12c_Sales" ref="A3:C15" tableType="queryTable" totalsRowShown="0">
  <autoFilter ref="A3:C15" xr:uid="{8C33EF47-FC00-4347-8B04-E916FED7ADDF}"/>
  <tableColumns count="3">
    <tableColumn id="1" xr3:uid="{F334FC42-A054-4166-9606-BBEA398C550B}" uniqueName="1" name="Month" queryTableFieldId="1" dataDxfId="1"/>
    <tableColumn id="2" xr3:uid="{14BF11F9-7419-4954-812B-72AF4AFA0F2F}" uniqueName="2" name="Fiscal Year Order" queryTableFieldId="2"/>
    <tableColumn id="3" xr3:uid="{F4B661EB-22C0-4E98-A4EC-EAA249C80C76}" uniqueName="3" name="Sales ($mil)" queryTableFieldId="3" dataDxfId="0"/>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Organic">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roject_Start" xr10:uid="{577CAF08-0EE2-4AF0-BF03-6411170A88FF}" sourceName="Project Start">
  <pivotTables>
    <pivotTable tabId="3" name="PivotTable1"/>
  </pivotTables>
  <state minimalRefreshVersion="6" lastRefreshVersion="6" pivotCacheId="873178091" filterType="dateBetween">
    <selection startDate="2021-01-01T00:00:00" endDate="2021-12-31T00:00:00"/>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roject Start" xr10:uid="{C64C55AD-E2D6-49A5-BEE2-51F4D494CF8F}" cache="NativeTimeline_Project_Start" caption="Project Start" level="2" selectionLevel="0" scrollPosition="2021-01-01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11"/>
  <sheetViews>
    <sheetView showGridLines="0" zoomScaleNormal="100" workbookViewId="0">
      <selection activeCell="E1" sqref="E1"/>
    </sheetView>
  </sheetViews>
  <sheetFormatPr defaultColWidth="10" defaultRowHeight="12.75" x14ac:dyDescent="0.2"/>
  <cols>
    <col min="1" max="1" width="8.7109375" style="3" customWidth="1"/>
    <col min="2" max="2" width="120.5703125" style="3" customWidth="1"/>
    <col min="3" max="3" width="3.7109375" style="3" customWidth="1"/>
    <col min="4" max="16384" width="10" style="3"/>
  </cols>
  <sheetData>
    <row r="1" spans="1:3" ht="32.25" customHeight="1" x14ac:dyDescent="0.25">
      <c r="A1" s="1"/>
      <c r="B1" s="1" t="s">
        <v>123</v>
      </c>
      <c r="C1" s="2"/>
    </row>
    <row r="2" spans="1:3" ht="5.0999999999999996" customHeight="1" x14ac:dyDescent="0.25">
      <c r="A2" s="4"/>
      <c r="B2"/>
      <c r="C2" s="5"/>
    </row>
    <row r="3" spans="1:3" s="9" customFormat="1" ht="34.5" x14ac:dyDescent="0.25">
      <c r="A3" s="6"/>
      <c r="B3" s="7" t="s">
        <v>3</v>
      </c>
      <c r="C3" s="8"/>
    </row>
    <row r="4" spans="1:3" ht="16.5" x14ac:dyDescent="0.25">
      <c r="A4" s="6"/>
      <c r="B4" s="10" t="s">
        <v>4</v>
      </c>
      <c r="C4" s="5"/>
    </row>
    <row r="5" spans="1:3" ht="15.75" customHeight="1" x14ac:dyDescent="0.25">
      <c r="A5" s="6"/>
      <c r="B5" s="6"/>
      <c r="C5" s="5"/>
    </row>
    <row r="6" spans="1:3" ht="13.5" x14ac:dyDescent="0.25">
      <c r="A6" s="11" t="s">
        <v>0</v>
      </c>
      <c r="B6" s="12" t="s">
        <v>1</v>
      </c>
      <c r="C6" s="5"/>
    </row>
    <row r="7" spans="1:3" ht="13.5" x14ac:dyDescent="0.25">
      <c r="A7" s="6"/>
      <c r="B7" s="6"/>
      <c r="C7" s="5"/>
    </row>
    <row r="8" spans="1:3" x14ac:dyDescent="0.2">
      <c r="A8" s="118" t="s">
        <v>2</v>
      </c>
      <c r="B8" s="118"/>
      <c r="C8" s="119"/>
    </row>
    <row r="9" spans="1:3" x14ac:dyDescent="0.2">
      <c r="A9" s="118"/>
      <c r="B9" s="118"/>
      <c r="C9" s="119"/>
    </row>
    <row r="10" spans="1:3" ht="13.5" thickBot="1" x14ac:dyDescent="0.25">
      <c r="A10" s="120"/>
      <c r="B10" s="120"/>
      <c r="C10" s="121"/>
    </row>
    <row r="11" spans="1:3" ht="13.5" thickTop="1" x14ac:dyDescent="0.2"/>
  </sheetData>
  <mergeCells count="1">
    <mergeCell ref="A8:C10"/>
  </mergeCells>
  <dataValidations count="2">
    <dataValidation allowBlank="1" showInputMessage="1" showErrorMessage="1" error="                                                                " sqref="J3" xr:uid="{00000000-0002-0000-0000-000000000000}"/>
    <dataValidation allowBlank="1" error="pavI8MeUFtEyxX2I4tkye13df6ab-c6a7-4963-8bd5-de587948fda7" sqref="A1:C2 A3:C3 A4:C11" xr:uid="{00000000-0002-0000-0000-000001000000}"/>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L40"/>
  <sheetViews>
    <sheetView showGridLines="0" topLeftCell="G3" zoomScale="120" zoomScaleNormal="120" workbookViewId="0">
      <selection activeCell="J22" sqref="J22"/>
    </sheetView>
  </sheetViews>
  <sheetFormatPr defaultRowHeight="15" x14ac:dyDescent="0.25"/>
  <cols>
    <col min="1" max="1" width="14.140625" bestFit="1" customWidth="1"/>
    <col min="2" max="2" width="17.140625" bestFit="1" customWidth="1"/>
    <col min="3" max="3" width="15.5703125" bestFit="1" customWidth="1"/>
    <col min="4" max="4" width="10.140625" bestFit="1" customWidth="1"/>
    <col min="5" max="5" width="16.85546875" bestFit="1" customWidth="1"/>
    <col min="6" max="6" width="13.7109375" bestFit="1" customWidth="1"/>
    <col min="7" max="7" width="17" bestFit="1" customWidth="1"/>
    <col min="8" max="8" width="3.28515625" customWidth="1"/>
    <col min="9" max="9" width="15.5703125" bestFit="1" customWidth="1"/>
    <col min="10" max="10" width="10.85546875" customWidth="1"/>
    <col min="11" max="11" width="15.5703125" bestFit="1" customWidth="1"/>
    <col min="12" max="12" width="14.28515625" bestFit="1" customWidth="1"/>
  </cols>
  <sheetData>
    <row r="1" spans="1:12" ht="57" customHeight="1" x14ac:dyDescent="0.35">
      <c r="A1" s="122"/>
      <c r="B1" s="122"/>
      <c r="C1" s="122"/>
      <c r="D1" s="122"/>
      <c r="E1" s="122"/>
      <c r="F1" s="122"/>
      <c r="G1" s="122"/>
    </row>
    <row r="2" spans="1:12" ht="15.75" thickBot="1" x14ac:dyDescent="0.3"/>
    <row r="3" spans="1:12" ht="15.75" thickBot="1" x14ac:dyDescent="0.3">
      <c r="A3" s="13" t="s">
        <v>5</v>
      </c>
      <c r="B3" s="13" t="s">
        <v>6</v>
      </c>
      <c r="C3" s="13" t="s">
        <v>7</v>
      </c>
      <c r="D3" s="13" t="s">
        <v>8</v>
      </c>
      <c r="E3" s="13" t="s">
        <v>9</v>
      </c>
      <c r="F3" s="13" t="s">
        <v>10</v>
      </c>
      <c r="G3" s="13" t="s">
        <v>11</v>
      </c>
      <c r="I3" s="16" t="s">
        <v>7</v>
      </c>
      <c r="J3" s="16" t="s">
        <v>58</v>
      </c>
      <c r="K3" s="16" t="s">
        <v>59</v>
      </c>
      <c r="L3" s="16" t="s">
        <v>60</v>
      </c>
    </row>
    <row r="4" spans="1:12" x14ac:dyDescent="0.25">
      <c r="A4" t="s">
        <v>39</v>
      </c>
      <c r="B4" t="s">
        <v>40</v>
      </c>
      <c r="C4" t="s">
        <v>25</v>
      </c>
      <c r="D4" s="13" t="s">
        <v>30</v>
      </c>
      <c r="E4" s="14">
        <v>44208</v>
      </c>
      <c r="F4" s="15">
        <v>30562</v>
      </c>
      <c r="G4" s="15">
        <v>30562</v>
      </c>
      <c r="I4" s="17" t="s">
        <v>18</v>
      </c>
      <c r="J4" s="18">
        <f>COUNTIF(Projects[Category],I4)</f>
        <v>4</v>
      </c>
      <c r="K4" s="19">
        <f>SUMIF(Projects[Category],I4,Projects[Estimate])</f>
        <v>176406</v>
      </c>
      <c r="L4" s="20">
        <f>AVERAGEIF(Projects[Category],I4,Projects[Estimate])</f>
        <v>44101.5</v>
      </c>
    </row>
    <row r="5" spans="1:12" x14ac:dyDescent="0.25">
      <c r="A5" t="s">
        <v>41</v>
      </c>
      <c r="B5" t="s">
        <v>42</v>
      </c>
      <c r="C5" t="s">
        <v>25</v>
      </c>
      <c r="D5" s="13" t="s">
        <v>30</v>
      </c>
      <c r="E5" s="14">
        <v>44216</v>
      </c>
      <c r="F5" s="15">
        <v>14500</v>
      </c>
      <c r="G5" s="15">
        <v>12000</v>
      </c>
      <c r="I5" s="21" t="s">
        <v>25</v>
      </c>
      <c r="J5" s="103">
        <f>COUNTIF(Projects[Category],I5)</f>
        <v>7</v>
      </c>
      <c r="K5" s="23">
        <f>SUMIF(Projects[Category],I5,Projects[Estimate])</f>
        <v>258530</v>
      </c>
      <c r="L5" s="24">
        <f>AVERAGEIF(Projects[Category],I5,Projects[Estimate])</f>
        <v>36932.857142857145</v>
      </c>
    </row>
    <row r="6" spans="1:12" x14ac:dyDescent="0.25">
      <c r="A6" t="s">
        <v>16</v>
      </c>
      <c r="B6" t="s">
        <v>17</v>
      </c>
      <c r="C6" t="s">
        <v>18</v>
      </c>
      <c r="D6" s="13" t="s">
        <v>19</v>
      </c>
      <c r="E6" s="14">
        <v>44243</v>
      </c>
      <c r="F6" s="15">
        <v>54672</v>
      </c>
      <c r="G6" s="15">
        <v>50000</v>
      </c>
      <c r="I6" s="25" t="s">
        <v>14</v>
      </c>
      <c r="J6" s="26">
        <f>COUNTIF(Projects[Category],I6)</f>
        <v>15</v>
      </c>
      <c r="K6" s="27">
        <f>SUMIF(Projects[Category],I6,Projects[Estimate])</f>
        <v>858325</v>
      </c>
      <c r="L6" s="28">
        <f>AVERAGEIF(Projects[Category],I6,Projects[Estimate])</f>
        <v>57221.666666666664</v>
      </c>
    </row>
    <row r="7" spans="1:12" x14ac:dyDescent="0.25">
      <c r="A7" t="s">
        <v>43</v>
      </c>
      <c r="B7" t="s">
        <v>44</v>
      </c>
      <c r="C7" t="s">
        <v>29</v>
      </c>
      <c r="D7" s="13" t="s">
        <v>26</v>
      </c>
      <c r="E7" s="14">
        <v>44249</v>
      </c>
      <c r="F7" s="15">
        <v>38750</v>
      </c>
      <c r="G7" s="15">
        <v>30000</v>
      </c>
      <c r="I7" s="29" t="s">
        <v>29</v>
      </c>
      <c r="J7" s="63">
        <f>COUNTIF(Projects[Category],I7)</f>
        <v>8</v>
      </c>
      <c r="K7" s="30">
        <f>SUMIF(Projects[Category],I7,Projects[Estimate])</f>
        <v>389934</v>
      </c>
      <c r="L7" s="31">
        <f>AVERAGEIF(Projects[Category],I7,Projects[Estimate])</f>
        <v>48741.75</v>
      </c>
    </row>
    <row r="8" spans="1:12" ht="15.75" thickBot="1" x14ac:dyDescent="0.3">
      <c r="A8" t="s">
        <v>27</v>
      </c>
      <c r="B8" t="s">
        <v>28</v>
      </c>
      <c r="C8" t="s">
        <v>29</v>
      </c>
      <c r="D8" s="13" t="s">
        <v>30</v>
      </c>
      <c r="E8" s="14">
        <v>44249</v>
      </c>
      <c r="F8" s="15">
        <v>107654</v>
      </c>
      <c r="G8" s="15">
        <v>57654</v>
      </c>
    </row>
    <row r="9" spans="1:12" x14ac:dyDescent="0.25">
      <c r="A9" t="s">
        <v>20</v>
      </c>
      <c r="B9" t="s">
        <v>21</v>
      </c>
      <c r="C9" t="s">
        <v>14</v>
      </c>
      <c r="D9" s="13" t="s">
        <v>22</v>
      </c>
      <c r="E9" s="14">
        <v>44256</v>
      </c>
      <c r="F9" s="15">
        <v>48932</v>
      </c>
      <c r="G9" s="15">
        <v>45932</v>
      </c>
      <c r="I9" s="33" t="s">
        <v>10</v>
      </c>
      <c r="J9" s="34"/>
    </row>
    <row r="10" spans="1:12" ht="15.75" thickBot="1" x14ac:dyDescent="0.3">
      <c r="A10" t="s">
        <v>39</v>
      </c>
      <c r="B10" t="s">
        <v>33</v>
      </c>
      <c r="C10" t="s">
        <v>18</v>
      </c>
      <c r="D10" s="13" t="s">
        <v>30</v>
      </c>
      <c r="E10" s="14">
        <v>44267</v>
      </c>
      <c r="F10" s="15">
        <v>72358</v>
      </c>
      <c r="G10" s="15">
        <v>72358</v>
      </c>
      <c r="I10" s="35" t="s">
        <v>61</v>
      </c>
      <c r="J10" s="36"/>
    </row>
    <row r="11" spans="1:12" x14ac:dyDescent="0.25">
      <c r="A11" t="s">
        <v>34</v>
      </c>
      <c r="B11" t="s">
        <v>35</v>
      </c>
      <c r="C11" t="s">
        <v>29</v>
      </c>
      <c r="D11" s="13" t="s">
        <v>19</v>
      </c>
      <c r="E11" s="14">
        <v>44275</v>
      </c>
      <c r="F11" s="15">
        <v>24505</v>
      </c>
      <c r="G11" s="15">
        <v>24505</v>
      </c>
      <c r="I11" s="37" t="s">
        <v>62</v>
      </c>
      <c r="J11" s="38">
        <f>DCOUNT(Projects[#All],"Estimate",I9:I10)</f>
        <v>14</v>
      </c>
      <c r="K11" s="102"/>
    </row>
    <row r="12" spans="1:12" ht="15.75" thickBot="1" x14ac:dyDescent="0.3">
      <c r="A12" t="s">
        <v>27</v>
      </c>
      <c r="B12" t="s">
        <v>31</v>
      </c>
      <c r="C12" t="s">
        <v>29</v>
      </c>
      <c r="D12" s="13" t="s">
        <v>30</v>
      </c>
      <c r="E12" s="14">
        <v>44278</v>
      </c>
      <c r="F12" s="15">
        <v>34756</v>
      </c>
      <c r="G12" s="15">
        <v>34756</v>
      </c>
    </row>
    <row r="13" spans="1:12" x14ac:dyDescent="0.25">
      <c r="A13" t="s">
        <v>36</v>
      </c>
      <c r="B13" t="s">
        <v>32</v>
      </c>
      <c r="C13" t="s">
        <v>14</v>
      </c>
      <c r="D13" s="13" t="s">
        <v>22</v>
      </c>
      <c r="E13" s="14">
        <v>44279</v>
      </c>
      <c r="F13" s="15">
        <v>68900</v>
      </c>
      <c r="G13" s="15">
        <v>34900</v>
      </c>
      <c r="I13" s="33" t="s">
        <v>5</v>
      </c>
      <c r="J13" s="34"/>
    </row>
    <row r="14" spans="1:12" ht="15.75" thickBot="1" x14ac:dyDescent="0.3">
      <c r="A14" t="s">
        <v>37</v>
      </c>
      <c r="B14" t="s">
        <v>38</v>
      </c>
      <c r="C14" t="s">
        <v>14</v>
      </c>
      <c r="D14" s="13" t="s">
        <v>15</v>
      </c>
      <c r="E14" s="14">
        <v>44285</v>
      </c>
      <c r="F14" s="15">
        <v>42350</v>
      </c>
      <c r="G14" s="15">
        <v>4250</v>
      </c>
      <c r="I14" s="35" t="s">
        <v>39</v>
      </c>
      <c r="J14" s="36"/>
    </row>
    <row r="15" spans="1:12" x14ac:dyDescent="0.25">
      <c r="A15" t="s">
        <v>39</v>
      </c>
      <c r="B15" t="s">
        <v>52</v>
      </c>
      <c r="C15" t="s">
        <v>14</v>
      </c>
      <c r="D15" s="13" t="s">
        <v>30</v>
      </c>
      <c r="E15" s="14">
        <v>44288</v>
      </c>
      <c r="F15" s="15">
        <v>27800</v>
      </c>
      <c r="G15" s="15">
        <v>17000</v>
      </c>
      <c r="I15" s="37" t="s">
        <v>63</v>
      </c>
      <c r="J15" s="39">
        <f>DSUM(Projects[#All],"Paid to Date",I13:I14)</f>
        <v>170270</v>
      </c>
    </row>
    <row r="16" spans="1:12" ht="15.75" thickBot="1" x14ac:dyDescent="0.3">
      <c r="A16" t="s">
        <v>51</v>
      </c>
      <c r="B16" t="s">
        <v>52</v>
      </c>
      <c r="C16" t="s">
        <v>14</v>
      </c>
      <c r="D16" s="13" t="s">
        <v>26</v>
      </c>
      <c r="E16" s="14">
        <v>44288</v>
      </c>
      <c r="F16" s="15">
        <v>28500</v>
      </c>
      <c r="G16" s="15">
        <v>28500</v>
      </c>
    </row>
    <row r="17" spans="1:10" ht="15.75" thickBot="1" x14ac:dyDescent="0.3">
      <c r="A17" t="s">
        <v>16</v>
      </c>
      <c r="B17" t="s">
        <v>45</v>
      </c>
      <c r="C17" t="s">
        <v>18</v>
      </c>
      <c r="D17" s="13" t="s">
        <v>19</v>
      </c>
      <c r="E17" s="14">
        <v>44291</v>
      </c>
      <c r="F17" s="15">
        <v>19576</v>
      </c>
      <c r="G17" s="15">
        <v>10576</v>
      </c>
      <c r="I17" s="123" t="s">
        <v>64</v>
      </c>
      <c r="J17" s="123"/>
    </row>
    <row r="18" spans="1:10" x14ac:dyDescent="0.25">
      <c r="A18" t="s">
        <v>12</v>
      </c>
      <c r="B18" t="s">
        <v>13</v>
      </c>
      <c r="C18" t="s">
        <v>14</v>
      </c>
      <c r="D18" s="13" t="s">
        <v>15</v>
      </c>
      <c r="E18" s="14">
        <v>44291</v>
      </c>
      <c r="F18" s="15">
        <v>70347</v>
      </c>
      <c r="G18" s="15">
        <v>30400</v>
      </c>
      <c r="I18" s="25" t="s">
        <v>15</v>
      </c>
      <c r="J18" s="104">
        <f>GETPIVOTDATA("Estimate",'Projects by State'!$A$3,"State","MT")</f>
        <v>302117</v>
      </c>
    </row>
    <row r="19" spans="1:10" x14ac:dyDescent="0.25">
      <c r="A19" t="s">
        <v>20</v>
      </c>
      <c r="B19" t="s">
        <v>46</v>
      </c>
      <c r="C19" t="s">
        <v>14</v>
      </c>
      <c r="D19" s="13" t="s">
        <v>22</v>
      </c>
      <c r="E19" s="14">
        <v>44300</v>
      </c>
      <c r="F19" s="15">
        <v>78400</v>
      </c>
      <c r="G19" s="15">
        <v>38400</v>
      </c>
      <c r="I19" s="21" t="s">
        <v>22</v>
      </c>
      <c r="J19" s="105">
        <f>GETPIVOTDATA("Estimate",'Projects by State'!$A$3,"State","ND")</f>
        <v>331598</v>
      </c>
    </row>
    <row r="20" spans="1:10" x14ac:dyDescent="0.25">
      <c r="A20" t="s">
        <v>47</v>
      </c>
      <c r="B20" t="s">
        <v>48</v>
      </c>
      <c r="C20" t="s">
        <v>14</v>
      </c>
      <c r="D20" s="13" t="s">
        <v>15</v>
      </c>
      <c r="E20" s="14">
        <v>44302</v>
      </c>
      <c r="F20" s="15">
        <v>52050</v>
      </c>
      <c r="G20" s="15">
        <v>12050</v>
      </c>
      <c r="I20" s="25" t="s">
        <v>30</v>
      </c>
      <c r="J20" s="104">
        <f>GETPIVOTDATA("Estimate",'Projects by State'!$A$3,"State","NE")</f>
        <v>577122</v>
      </c>
    </row>
    <row r="21" spans="1:10" x14ac:dyDescent="0.25">
      <c r="A21" t="s">
        <v>37</v>
      </c>
      <c r="B21" t="s">
        <v>32</v>
      </c>
      <c r="C21" t="s">
        <v>14</v>
      </c>
      <c r="D21" s="13" t="s">
        <v>15</v>
      </c>
      <c r="E21" s="14">
        <v>44302</v>
      </c>
      <c r="F21" s="15">
        <v>76320</v>
      </c>
      <c r="G21" s="15">
        <v>16320</v>
      </c>
      <c r="I21" s="21" t="s">
        <v>26</v>
      </c>
      <c r="J21" s="105">
        <f>GETPIVOTDATA("Estimate",'Projects by State'!$A$3,"State","SD")</f>
        <v>278605</v>
      </c>
    </row>
    <row r="22" spans="1:10" x14ac:dyDescent="0.25">
      <c r="A22" t="s">
        <v>23</v>
      </c>
      <c r="B22" t="s">
        <v>24</v>
      </c>
      <c r="C22" t="s">
        <v>25</v>
      </c>
      <c r="D22" s="13" t="s">
        <v>26</v>
      </c>
      <c r="E22" s="14">
        <v>44303</v>
      </c>
      <c r="F22" s="15">
        <v>56890</v>
      </c>
      <c r="G22" s="15">
        <v>6000</v>
      </c>
      <c r="I22" s="41" t="s">
        <v>19</v>
      </c>
      <c r="J22" s="106">
        <f>GETPIVOTDATA("Estimate",'Projects by State'!$A$3,"State","WY")</f>
        <v>193753</v>
      </c>
    </row>
    <row r="23" spans="1:10" x14ac:dyDescent="0.25">
      <c r="A23" t="s">
        <v>49</v>
      </c>
      <c r="B23" t="s">
        <v>50</v>
      </c>
      <c r="C23" t="s">
        <v>14</v>
      </c>
      <c r="D23" s="13" t="s">
        <v>30</v>
      </c>
      <c r="E23" s="14">
        <v>44309</v>
      </c>
      <c r="F23" s="15">
        <v>34560</v>
      </c>
      <c r="G23" s="15">
        <v>17000</v>
      </c>
    </row>
    <row r="24" spans="1:10" x14ac:dyDescent="0.25">
      <c r="A24" t="s">
        <v>34</v>
      </c>
      <c r="B24" t="s">
        <v>53</v>
      </c>
      <c r="C24" t="s">
        <v>29</v>
      </c>
      <c r="D24" s="13" t="s">
        <v>19</v>
      </c>
      <c r="E24" s="14">
        <v>44318</v>
      </c>
      <c r="F24" s="15">
        <v>19750</v>
      </c>
      <c r="G24" s="15">
        <v>2000</v>
      </c>
    </row>
    <row r="25" spans="1:10" x14ac:dyDescent="0.25">
      <c r="A25" t="s">
        <v>20</v>
      </c>
      <c r="B25" t="s">
        <v>32</v>
      </c>
      <c r="C25" t="s">
        <v>14</v>
      </c>
      <c r="D25" s="13" t="s">
        <v>22</v>
      </c>
      <c r="E25" s="14">
        <v>44326</v>
      </c>
      <c r="F25" s="15">
        <v>34566</v>
      </c>
      <c r="G25" s="15">
        <v>24000</v>
      </c>
    </row>
    <row r="26" spans="1:10" x14ac:dyDescent="0.25">
      <c r="A26" t="s">
        <v>23</v>
      </c>
      <c r="B26" t="s">
        <v>40</v>
      </c>
      <c r="C26" t="s">
        <v>25</v>
      </c>
      <c r="D26" s="13" t="s">
        <v>26</v>
      </c>
      <c r="E26" s="14">
        <v>44330</v>
      </c>
      <c r="F26" s="15">
        <v>24528</v>
      </c>
      <c r="G26" s="15">
        <v>2400</v>
      </c>
    </row>
    <row r="27" spans="1:10" x14ac:dyDescent="0.25">
      <c r="A27" t="s">
        <v>37</v>
      </c>
      <c r="B27" t="s">
        <v>33</v>
      </c>
      <c r="C27" t="s">
        <v>18</v>
      </c>
      <c r="D27" s="13" t="s">
        <v>15</v>
      </c>
      <c r="E27" s="14">
        <v>44330</v>
      </c>
      <c r="F27" s="15">
        <v>29800</v>
      </c>
      <c r="G27" s="15">
        <v>20000</v>
      </c>
    </row>
    <row r="28" spans="1:10" x14ac:dyDescent="0.25">
      <c r="A28" t="s">
        <v>54</v>
      </c>
      <c r="B28" t="s">
        <v>42</v>
      </c>
      <c r="C28" t="s">
        <v>25</v>
      </c>
      <c r="D28" s="13" t="s">
        <v>22</v>
      </c>
      <c r="E28" s="14">
        <v>44342</v>
      </c>
      <c r="F28" s="15">
        <v>18500</v>
      </c>
      <c r="G28" s="15">
        <v>18500</v>
      </c>
    </row>
    <row r="29" spans="1:10" x14ac:dyDescent="0.25">
      <c r="A29" t="s">
        <v>43</v>
      </c>
      <c r="B29" t="s">
        <v>28</v>
      </c>
      <c r="C29" t="s">
        <v>29</v>
      </c>
      <c r="D29" s="13" t="s">
        <v>26</v>
      </c>
      <c r="E29" s="14">
        <v>44346</v>
      </c>
      <c r="F29" s="15">
        <v>85437</v>
      </c>
      <c r="G29" s="15">
        <v>43000</v>
      </c>
    </row>
    <row r="30" spans="1:10" x14ac:dyDescent="0.25">
      <c r="A30" t="s">
        <v>39</v>
      </c>
      <c r="B30" t="s">
        <v>46</v>
      </c>
      <c r="C30" t="s">
        <v>14</v>
      </c>
      <c r="D30" s="13" t="s">
        <v>30</v>
      </c>
      <c r="E30" s="14">
        <v>44348</v>
      </c>
      <c r="F30" s="15">
        <v>82350</v>
      </c>
      <c r="G30" s="15">
        <v>40000</v>
      </c>
    </row>
    <row r="31" spans="1:10" x14ac:dyDescent="0.25">
      <c r="A31" t="s">
        <v>47</v>
      </c>
      <c r="B31" t="s">
        <v>40</v>
      </c>
      <c r="C31" t="s">
        <v>25</v>
      </c>
      <c r="D31" s="13" t="s">
        <v>15</v>
      </c>
      <c r="E31" s="14">
        <v>44350</v>
      </c>
      <c r="F31" s="15">
        <v>31250</v>
      </c>
      <c r="G31" s="15">
        <v>11250</v>
      </c>
    </row>
    <row r="32" spans="1:10" x14ac:dyDescent="0.25">
      <c r="A32" t="s">
        <v>16</v>
      </c>
      <c r="B32" t="s">
        <v>38</v>
      </c>
      <c r="C32" t="s">
        <v>14</v>
      </c>
      <c r="D32" s="13" t="s">
        <v>19</v>
      </c>
      <c r="E32" s="14">
        <v>44353</v>
      </c>
      <c r="F32" s="15">
        <v>75250</v>
      </c>
      <c r="G32" s="15">
        <v>7500</v>
      </c>
    </row>
    <row r="33" spans="1:7" x14ac:dyDescent="0.25">
      <c r="A33" t="s">
        <v>39</v>
      </c>
      <c r="B33" t="s">
        <v>55</v>
      </c>
      <c r="C33" t="s">
        <v>14</v>
      </c>
      <c r="D33" s="13" t="s">
        <v>30</v>
      </c>
      <c r="E33" s="14">
        <v>44359</v>
      </c>
      <c r="F33" s="15">
        <v>100350</v>
      </c>
      <c r="G33" s="15">
        <v>10350</v>
      </c>
    </row>
    <row r="34" spans="1:7" x14ac:dyDescent="0.25">
      <c r="A34" t="s">
        <v>27</v>
      </c>
      <c r="B34" t="s">
        <v>44</v>
      </c>
      <c r="C34" t="s">
        <v>29</v>
      </c>
      <c r="D34" s="13" t="s">
        <v>30</v>
      </c>
      <c r="E34" s="14">
        <v>44364</v>
      </c>
      <c r="F34" s="15">
        <v>34582</v>
      </c>
      <c r="G34" s="15">
        <v>14582</v>
      </c>
    </row>
    <row r="35" spans="1:7" x14ac:dyDescent="0.25">
      <c r="A35" t="s">
        <v>43</v>
      </c>
      <c r="B35" t="s">
        <v>53</v>
      </c>
      <c r="C35" t="s">
        <v>29</v>
      </c>
      <c r="D35" s="13" t="s">
        <v>26</v>
      </c>
      <c r="E35" s="14">
        <v>44367</v>
      </c>
      <c r="F35" s="15">
        <v>44500</v>
      </c>
      <c r="G35" s="15">
        <v>20500</v>
      </c>
    </row>
    <row r="36" spans="1:7" x14ac:dyDescent="0.25">
      <c r="A36" t="s">
        <v>20</v>
      </c>
      <c r="B36" t="s">
        <v>40</v>
      </c>
      <c r="C36" t="s">
        <v>25</v>
      </c>
      <c r="D36" s="13" t="s">
        <v>22</v>
      </c>
      <c r="E36" s="14">
        <v>44371</v>
      </c>
      <c r="F36" s="15">
        <v>82300</v>
      </c>
      <c r="G36" s="15">
        <v>42000</v>
      </c>
    </row>
    <row r="37" spans="1:7" x14ac:dyDescent="0.25">
      <c r="A37" t="s">
        <v>56</v>
      </c>
      <c r="B37" t="s">
        <v>57</v>
      </c>
      <c r="C37" t="s">
        <v>14</v>
      </c>
      <c r="D37" s="13" t="s">
        <v>30</v>
      </c>
      <c r="E37" s="14">
        <v>44373</v>
      </c>
      <c r="F37" s="15">
        <v>37650</v>
      </c>
      <c r="G37" s="15">
        <v>17000</v>
      </c>
    </row>
    <row r="38" spans="1:7" x14ac:dyDescent="0.25">
      <c r="D38" s="13"/>
      <c r="E38" s="14"/>
      <c r="F38" s="15"/>
      <c r="G38" s="15"/>
    </row>
    <row r="39" spans="1:7" x14ac:dyDescent="0.25">
      <c r="D39" s="13"/>
      <c r="E39" s="14"/>
      <c r="F39" s="15"/>
      <c r="G39" s="15"/>
    </row>
    <row r="40" spans="1:7" x14ac:dyDescent="0.25">
      <c r="D40" s="13"/>
      <c r="E40" s="14"/>
      <c r="F40" s="15"/>
      <c r="G40" s="15"/>
    </row>
  </sheetData>
  <mergeCells count="2">
    <mergeCell ref="A1:G1"/>
    <mergeCell ref="I17:J17"/>
  </mergeCells>
  <dataValidations count="1">
    <dataValidation type="list" allowBlank="1" showInputMessage="1" showErrorMessage="1" errorTitle="Invalid Category" error="Enter a category listed in column I." promptTitle="Project Category" prompt="Enter a project category." sqref="C4:C37" xr:uid="{8F0A868D-38A7-4728-BE4B-B41C7E4B24AA}">
      <formula1>$I$4:$I$7</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ntStats">
                <anchor moveWithCells="1">
                  <from>
                    <xdr:col>9</xdr:col>
                    <xdr:colOff>85725</xdr:colOff>
                    <xdr:row>0</xdr:row>
                    <xdr:rowOff>123825</xdr:rowOff>
                  </from>
                  <to>
                    <xdr:col>10</xdr:col>
                    <xdr:colOff>276225</xdr:colOff>
                    <xdr:row>0</xdr:row>
                    <xdr:rowOff>400050</xdr:rowOff>
                  </to>
                </anchor>
              </controlPr>
            </control>
          </mc:Choice>
        </mc:AlternateContent>
        <mc:AlternateContent xmlns:mc="http://schemas.openxmlformats.org/markup-compatibility/2006">
          <mc:Choice Requires="x14">
            <control shapeId="2050" r:id="rId5" name="Button 2">
              <controlPr defaultSize="0" print="0" autoFill="0" autoPict="0" macro="[0]!AddRow">
                <anchor moveWithCells="1" sizeWithCells="1">
                  <from>
                    <xdr:col>8</xdr:col>
                    <xdr:colOff>57150</xdr:colOff>
                    <xdr:row>0</xdr:row>
                    <xdr:rowOff>123825</xdr:rowOff>
                  </from>
                  <to>
                    <xdr:col>8</xdr:col>
                    <xdr:colOff>971550</xdr:colOff>
                    <xdr:row>0</xdr:row>
                    <xdr:rowOff>400050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7766E-B1AD-4728-BD65-C6C4E04F1BA0}">
  <dimension ref="A1:D20"/>
  <sheetViews>
    <sheetView workbookViewId="0">
      <selection sqref="A1:D20"/>
    </sheetView>
  </sheetViews>
  <sheetFormatPr defaultRowHeight="15" x14ac:dyDescent="0.25"/>
  <cols>
    <col min="1" max="1" width="15.28515625" bestFit="1" customWidth="1"/>
    <col min="3" max="3" width="15.5703125" bestFit="1" customWidth="1"/>
    <col min="4" max="4" width="14.28515625" bestFit="1" customWidth="1"/>
  </cols>
  <sheetData>
    <row r="1" spans="1:4" ht="15.75" thickBot="1" x14ac:dyDescent="0.3">
      <c r="A1" s="113" t="s">
        <v>7</v>
      </c>
      <c r="B1" s="113" t="s">
        <v>58</v>
      </c>
      <c r="C1" s="113" t="s">
        <v>59</v>
      </c>
      <c r="D1" s="113" t="s">
        <v>60</v>
      </c>
    </row>
    <row r="2" spans="1:4" x14ac:dyDescent="0.25">
      <c r="A2" s="17" t="s">
        <v>18</v>
      </c>
      <c r="B2" s="18"/>
      <c r="C2" s="19"/>
      <c r="D2" s="20"/>
    </row>
    <row r="3" spans="1:4" x14ac:dyDescent="0.25">
      <c r="A3" s="21" t="s">
        <v>25</v>
      </c>
      <c r="B3" s="103"/>
      <c r="C3" s="23"/>
      <c r="D3" s="24"/>
    </row>
    <row r="4" spans="1:4" x14ac:dyDescent="0.25">
      <c r="A4" s="25" t="s">
        <v>14</v>
      </c>
      <c r="B4" s="26"/>
      <c r="C4" s="27"/>
      <c r="D4" s="28"/>
    </row>
    <row r="5" spans="1:4" x14ac:dyDescent="0.25">
      <c r="A5" s="29" t="s">
        <v>29</v>
      </c>
      <c r="B5" s="63"/>
      <c r="C5" s="30"/>
      <c r="D5" s="31"/>
    </row>
    <row r="6" spans="1:4" ht="15.75" thickBot="1" x14ac:dyDescent="0.3"/>
    <row r="7" spans="1:4" x14ac:dyDescent="0.25">
      <c r="A7" s="33" t="s">
        <v>10</v>
      </c>
      <c r="B7" s="34"/>
    </row>
    <row r="8" spans="1:4" ht="15.75" thickBot="1" x14ac:dyDescent="0.3">
      <c r="A8" s="35" t="s">
        <v>61</v>
      </c>
      <c r="B8" s="36"/>
    </row>
    <row r="9" spans="1:4" x14ac:dyDescent="0.25">
      <c r="A9" s="37" t="s">
        <v>62</v>
      </c>
      <c r="B9" s="38">
        <f>DCOUNT(Projects[#All],"Estimate",A7:A8)</f>
        <v>14</v>
      </c>
      <c r="C9" s="102"/>
    </row>
    <row r="10" spans="1:4" ht="15.75" thickBot="1" x14ac:dyDescent="0.3"/>
    <row r="11" spans="1:4" x14ac:dyDescent="0.25">
      <c r="A11" s="33" t="s">
        <v>5</v>
      </c>
      <c r="B11" s="34"/>
    </row>
    <row r="12" spans="1:4" ht="15.75" thickBot="1" x14ac:dyDescent="0.3">
      <c r="A12" s="35" t="s">
        <v>39</v>
      </c>
      <c r="B12" s="36"/>
    </row>
    <row r="13" spans="1:4" x14ac:dyDescent="0.25">
      <c r="A13" s="37" t="s">
        <v>63</v>
      </c>
      <c r="B13" s="39">
        <f>DSUM(Projects[#All],"Paid to Date",A11:A12)</f>
        <v>170270</v>
      </c>
    </row>
    <row r="14" spans="1:4" ht="15.75" thickBot="1" x14ac:dyDescent="0.3"/>
    <row r="15" spans="1:4" ht="15.75" thickBot="1" x14ac:dyDescent="0.3">
      <c r="A15" s="123" t="s">
        <v>64</v>
      </c>
      <c r="B15" s="123"/>
    </row>
    <row r="16" spans="1:4" x14ac:dyDescent="0.25">
      <c r="A16" s="25" t="s">
        <v>15</v>
      </c>
      <c r="B16" s="104"/>
    </row>
    <row r="17" spans="1:2" x14ac:dyDescent="0.25">
      <c r="A17" s="21" t="s">
        <v>22</v>
      </c>
      <c r="B17" s="105"/>
    </row>
    <row r="18" spans="1:2" x14ac:dyDescent="0.25">
      <c r="A18" s="25" t="s">
        <v>30</v>
      </c>
      <c r="B18" s="104"/>
    </row>
    <row r="19" spans="1:2" x14ac:dyDescent="0.25">
      <c r="A19" s="21" t="s">
        <v>26</v>
      </c>
      <c r="B19" s="105"/>
    </row>
    <row r="20" spans="1:2" x14ac:dyDescent="0.25">
      <c r="A20" s="41" t="s">
        <v>19</v>
      </c>
      <c r="B20" s="106"/>
    </row>
  </sheetData>
  <mergeCells count="1">
    <mergeCell ref="A15:B1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32"/>
  <sheetViews>
    <sheetView topLeftCell="A2" zoomScale="110" zoomScaleNormal="110" workbookViewId="0">
      <selection activeCell="B4" sqref="B4"/>
    </sheetView>
  </sheetViews>
  <sheetFormatPr defaultRowHeight="15" x14ac:dyDescent="0.25"/>
  <cols>
    <col min="1" max="1" width="14.85546875" bestFit="1" customWidth="1"/>
    <col min="2" max="2" width="14.5703125" bestFit="1" customWidth="1"/>
    <col min="3" max="6" width="16.7109375" bestFit="1" customWidth="1"/>
    <col min="7" max="7" width="12" bestFit="1" customWidth="1"/>
  </cols>
  <sheetData>
    <row r="1" spans="1:7" ht="57" customHeight="1" x14ac:dyDescent="0.25">
      <c r="A1" s="32"/>
      <c r="B1" s="32"/>
      <c r="C1" s="32"/>
      <c r="D1" s="32"/>
      <c r="E1" s="32"/>
      <c r="F1" s="32"/>
      <c r="G1" s="32"/>
    </row>
    <row r="3" spans="1:7" x14ac:dyDescent="0.25">
      <c r="A3" s="42" t="s">
        <v>67</v>
      </c>
      <c r="C3" s="42" t="s">
        <v>7</v>
      </c>
    </row>
    <row r="4" spans="1:7" x14ac:dyDescent="0.25">
      <c r="A4" s="42" t="s">
        <v>8</v>
      </c>
      <c r="B4" s="42" t="s">
        <v>9</v>
      </c>
      <c r="C4" t="s">
        <v>18</v>
      </c>
      <c r="D4" t="s">
        <v>25</v>
      </c>
      <c r="E4" t="s">
        <v>14</v>
      </c>
      <c r="F4" t="s">
        <v>29</v>
      </c>
      <c r="G4" t="s">
        <v>66</v>
      </c>
    </row>
    <row r="5" spans="1:7" x14ac:dyDescent="0.25">
      <c r="A5" t="s">
        <v>15</v>
      </c>
      <c r="C5" s="45">
        <v>29800</v>
      </c>
      <c r="D5" s="45">
        <v>31250</v>
      </c>
      <c r="E5" s="45">
        <v>241067</v>
      </c>
      <c r="F5" s="45"/>
      <c r="G5" s="45">
        <v>302117</v>
      </c>
    </row>
    <row r="6" spans="1:7" x14ac:dyDescent="0.25">
      <c r="B6" s="14" t="s">
        <v>124</v>
      </c>
      <c r="C6" s="45"/>
      <c r="D6" s="45"/>
      <c r="E6" s="45">
        <v>42350</v>
      </c>
      <c r="F6" s="45"/>
      <c r="G6" s="45">
        <v>42350</v>
      </c>
    </row>
    <row r="7" spans="1:7" x14ac:dyDescent="0.25">
      <c r="B7" s="14" t="s">
        <v>125</v>
      </c>
      <c r="C7" s="45"/>
      <c r="D7" s="45"/>
      <c r="E7" s="45">
        <v>198717</v>
      </c>
      <c r="F7" s="45"/>
      <c r="G7" s="45">
        <v>198717</v>
      </c>
    </row>
    <row r="8" spans="1:7" x14ac:dyDescent="0.25">
      <c r="B8" s="14" t="s">
        <v>126</v>
      </c>
      <c r="C8" s="45">
        <v>29800</v>
      </c>
      <c r="D8" s="45"/>
      <c r="E8" s="45"/>
      <c r="F8" s="45"/>
      <c r="G8" s="45">
        <v>29800</v>
      </c>
    </row>
    <row r="9" spans="1:7" x14ac:dyDescent="0.25">
      <c r="B9" s="14" t="s">
        <v>127</v>
      </c>
      <c r="C9" s="45"/>
      <c r="D9" s="45">
        <v>31250</v>
      </c>
      <c r="E9" s="45"/>
      <c r="F9" s="45"/>
      <c r="G9" s="45">
        <v>31250</v>
      </c>
    </row>
    <row r="10" spans="1:7" x14ac:dyDescent="0.25">
      <c r="A10" t="s">
        <v>22</v>
      </c>
      <c r="C10" s="45"/>
      <c r="D10" s="45">
        <v>100800</v>
      </c>
      <c r="E10" s="45">
        <v>230798</v>
      </c>
      <c r="F10" s="45"/>
      <c r="G10" s="45">
        <v>331598</v>
      </c>
    </row>
    <row r="11" spans="1:7" x14ac:dyDescent="0.25">
      <c r="B11" s="14" t="s">
        <v>124</v>
      </c>
      <c r="C11" s="45"/>
      <c r="D11" s="45"/>
      <c r="E11" s="45">
        <v>117832</v>
      </c>
      <c r="F11" s="45"/>
      <c r="G11" s="45">
        <v>117832</v>
      </c>
    </row>
    <row r="12" spans="1:7" x14ac:dyDescent="0.25">
      <c r="B12" s="14" t="s">
        <v>125</v>
      </c>
      <c r="C12" s="45"/>
      <c r="D12" s="45"/>
      <c r="E12" s="45">
        <v>78400</v>
      </c>
      <c r="F12" s="45"/>
      <c r="G12" s="45">
        <v>78400</v>
      </c>
    </row>
    <row r="13" spans="1:7" x14ac:dyDescent="0.25">
      <c r="B13" s="14" t="s">
        <v>126</v>
      </c>
      <c r="C13" s="45"/>
      <c r="D13" s="45">
        <v>18500</v>
      </c>
      <c r="E13" s="45">
        <v>34566</v>
      </c>
      <c r="F13" s="45"/>
      <c r="G13" s="45">
        <v>53066</v>
      </c>
    </row>
    <row r="14" spans="1:7" x14ac:dyDescent="0.25">
      <c r="B14" s="14" t="s">
        <v>127</v>
      </c>
      <c r="C14" s="45"/>
      <c r="D14" s="45">
        <v>82300</v>
      </c>
      <c r="E14" s="45"/>
      <c r="F14" s="45"/>
      <c r="G14" s="45">
        <v>82300</v>
      </c>
    </row>
    <row r="15" spans="1:7" x14ac:dyDescent="0.25">
      <c r="A15" t="s">
        <v>30</v>
      </c>
      <c r="C15" s="45">
        <v>72358</v>
      </c>
      <c r="D15" s="45">
        <v>45062</v>
      </c>
      <c r="E15" s="45">
        <v>282710</v>
      </c>
      <c r="F15" s="45">
        <v>176992</v>
      </c>
      <c r="G15" s="45">
        <v>577122</v>
      </c>
    </row>
    <row r="16" spans="1:7" x14ac:dyDescent="0.25">
      <c r="B16" s="14" t="s">
        <v>128</v>
      </c>
      <c r="C16" s="45"/>
      <c r="D16" s="45">
        <v>45062</v>
      </c>
      <c r="E16" s="45"/>
      <c r="F16" s="45"/>
      <c r="G16" s="45">
        <v>45062</v>
      </c>
    </row>
    <row r="17" spans="1:7" x14ac:dyDescent="0.25">
      <c r="B17" s="14" t="s">
        <v>129</v>
      </c>
      <c r="C17" s="45"/>
      <c r="D17" s="45"/>
      <c r="E17" s="45"/>
      <c r="F17" s="45">
        <v>107654</v>
      </c>
      <c r="G17" s="45">
        <v>107654</v>
      </c>
    </row>
    <row r="18" spans="1:7" x14ac:dyDescent="0.25">
      <c r="B18" s="14" t="s">
        <v>124</v>
      </c>
      <c r="C18" s="45">
        <v>72358</v>
      </c>
      <c r="D18" s="45"/>
      <c r="E18" s="45"/>
      <c r="F18" s="45">
        <v>34756</v>
      </c>
      <c r="G18" s="45">
        <v>107114</v>
      </c>
    </row>
    <row r="19" spans="1:7" x14ac:dyDescent="0.25">
      <c r="B19" s="14" t="s">
        <v>125</v>
      </c>
      <c r="C19" s="45"/>
      <c r="D19" s="45"/>
      <c r="E19" s="45">
        <v>62360</v>
      </c>
      <c r="F19" s="45"/>
      <c r="G19" s="45">
        <v>62360</v>
      </c>
    </row>
    <row r="20" spans="1:7" x14ac:dyDescent="0.25">
      <c r="B20" s="14" t="s">
        <v>127</v>
      </c>
      <c r="C20" s="45"/>
      <c r="D20" s="45"/>
      <c r="E20" s="45">
        <v>220350</v>
      </c>
      <c r="F20" s="45">
        <v>34582</v>
      </c>
      <c r="G20" s="45">
        <v>254932</v>
      </c>
    </row>
    <row r="21" spans="1:7" x14ac:dyDescent="0.25">
      <c r="A21" t="s">
        <v>26</v>
      </c>
      <c r="C21" s="45"/>
      <c r="D21" s="45">
        <v>81418</v>
      </c>
      <c r="E21" s="45">
        <v>28500</v>
      </c>
      <c r="F21" s="45">
        <v>168687</v>
      </c>
      <c r="G21" s="45">
        <v>278605</v>
      </c>
    </row>
    <row r="22" spans="1:7" x14ac:dyDescent="0.25">
      <c r="B22" s="14" t="s">
        <v>129</v>
      </c>
      <c r="C22" s="45"/>
      <c r="D22" s="45"/>
      <c r="E22" s="45"/>
      <c r="F22" s="45">
        <v>38750</v>
      </c>
      <c r="G22" s="45">
        <v>38750</v>
      </c>
    </row>
    <row r="23" spans="1:7" x14ac:dyDescent="0.25">
      <c r="B23" s="14" t="s">
        <v>125</v>
      </c>
      <c r="C23" s="45"/>
      <c r="D23" s="45">
        <v>56890</v>
      </c>
      <c r="E23" s="45">
        <v>28500</v>
      </c>
      <c r="F23" s="45"/>
      <c r="G23" s="45">
        <v>85390</v>
      </c>
    </row>
    <row r="24" spans="1:7" x14ac:dyDescent="0.25">
      <c r="B24" s="14" t="s">
        <v>126</v>
      </c>
      <c r="C24" s="45"/>
      <c r="D24" s="45">
        <v>24528</v>
      </c>
      <c r="E24" s="45"/>
      <c r="F24" s="45">
        <v>85437</v>
      </c>
      <c r="G24" s="45">
        <v>109965</v>
      </c>
    </row>
    <row r="25" spans="1:7" x14ac:dyDescent="0.25">
      <c r="B25" s="14" t="s">
        <v>127</v>
      </c>
      <c r="C25" s="45"/>
      <c r="D25" s="45"/>
      <c r="E25" s="45"/>
      <c r="F25" s="45">
        <v>44500</v>
      </c>
      <c r="G25" s="45">
        <v>44500</v>
      </c>
    </row>
    <row r="26" spans="1:7" x14ac:dyDescent="0.25">
      <c r="A26" t="s">
        <v>19</v>
      </c>
      <c r="C26" s="45">
        <v>74248</v>
      </c>
      <c r="D26" s="45"/>
      <c r="E26" s="45">
        <v>75250</v>
      </c>
      <c r="F26" s="45">
        <v>44255</v>
      </c>
      <c r="G26" s="45">
        <v>193753</v>
      </c>
    </row>
    <row r="27" spans="1:7" x14ac:dyDescent="0.25">
      <c r="B27" s="14" t="s">
        <v>129</v>
      </c>
      <c r="C27" s="45">
        <v>54672</v>
      </c>
      <c r="D27" s="45"/>
      <c r="E27" s="45"/>
      <c r="F27" s="45"/>
      <c r="G27" s="45">
        <v>54672</v>
      </c>
    </row>
    <row r="28" spans="1:7" x14ac:dyDescent="0.25">
      <c r="B28" s="14" t="s">
        <v>124</v>
      </c>
      <c r="C28" s="45"/>
      <c r="D28" s="45"/>
      <c r="E28" s="45"/>
      <c r="F28" s="45">
        <v>24505</v>
      </c>
      <c r="G28" s="45">
        <v>24505</v>
      </c>
    </row>
    <row r="29" spans="1:7" x14ac:dyDescent="0.25">
      <c r="B29" s="14" t="s">
        <v>125</v>
      </c>
      <c r="C29" s="45">
        <v>19576</v>
      </c>
      <c r="D29" s="45"/>
      <c r="E29" s="45"/>
      <c r="F29" s="45"/>
      <c r="G29" s="45">
        <v>19576</v>
      </c>
    </row>
    <row r="30" spans="1:7" x14ac:dyDescent="0.25">
      <c r="B30" s="14" t="s">
        <v>126</v>
      </c>
      <c r="C30" s="45"/>
      <c r="D30" s="45"/>
      <c r="E30" s="45"/>
      <c r="F30" s="45">
        <v>19750</v>
      </c>
      <c r="G30" s="45">
        <v>19750</v>
      </c>
    </row>
    <row r="31" spans="1:7" x14ac:dyDescent="0.25">
      <c r="B31" s="14" t="s">
        <v>127</v>
      </c>
      <c r="C31" s="45"/>
      <c r="D31" s="45"/>
      <c r="E31" s="45">
        <v>75250</v>
      </c>
      <c r="F31" s="45"/>
      <c r="G31" s="45">
        <v>75250</v>
      </c>
    </row>
    <row r="32" spans="1:7" x14ac:dyDescent="0.25">
      <c r="A32" t="s">
        <v>66</v>
      </c>
      <c r="C32" s="45">
        <v>176406</v>
      </c>
      <c r="D32" s="45">
        <v>258530</v>
      </c>
      <c r="E32" s="45">
        <v>858325</v>
      </c>
      <c r="F32" s="45">
        <v>389934</v>
      </c>
      <c r="G32" s="45">
        <v>1683195</v>
      </c>
    </row>
  </sheetData>
  <dataValidations count="1">
    <dataValidation allowBlank="1" error="pavI8MeUFtEyxX2I4tkye13df6ab-c6a7-4963-8bd5-de587948fda7" sqref="A1:F2 G1:G2" xr:uid="{00000000-0002-0000-0200-000000000000}"/>
  </dataValidations>
  <pageMargins left="0.7" right="0.7" top="0.75" bottom="0.75" header="0.3" footer="0.3"/>
  <pageSetup orientation="portrait" r:id="rId2"/>
  <drawing r:id="rId3"/>
  <extLs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6"/>
  <sheetViews>
    <sheetView workbookViewId="0">
      <selection activeCell="E4" sqref="E4"/>
    </sheetView>
  </sheetViews>
  <sheetFormatPr defaultRowHeight="15" x14ac:dyDescent="0.25"/>
  <cols>
    <col min="1" max="1" width="19.7109375" bestFit="1" customWidth="1"/>
    <col min="2" max="2" width="14.7109375" bestFit="1" customWidth="1"/>
    <col min="3" max="3" width="18.140625" bestFit="1" customWidth="1"/>
    <col min="4" max="4" width="14.5703125" bestFit="1" customWidth="1"/>
    <col min="5" max="5" width="9" bestFit="1" customWidth="1"/>
    <col min="6" max="11" width="7.5703125" customWidth="1"/>
    <col min="12" max="12" width="7.42578125" customWidth="1"/>
    <col min="13" max="33" width="7.5703125" customWidth="1"/>
    <col min="34" max="35" width="8.42578125" customWidth="1"/>
    <col min="36" max="36" width="12" bestFit="1" customWidth="1"/>
  </cols>
  <sheetData>
    <row r="1" spans="1:5" ht="57" customHeight="1" x14ac:dyDescent="0.25">
      <c r="A1" s="32"/>
      <c r="B1" s="32"/>
      <c r="C1" s="32"/>
      <c r="D1" s="32"/>
      <c r="E1" s="32"/>
    </row>
    <row r="3" spans="1:5" x14ac:dyDescent="0.25">
      <c r="A3" s="107" t="s">
        <v>120</v>
      </c>
      <c r="B3" s="13" t="s">
        <v>68</v>
      </c>
      <c r="C3" s="13" t="s">
        <v>69</v>
      </c>
      <c r="D3" t="s">
        <v>130</v>
      </c>
      <c r="E3" t="s">
        <v>131</v>
      </c>
    </row>
    <row r="4" spans="1:5" x14ac:dyDescent="0.25">
      <c r="A4" s="43" t="s">
        <v>27</v>
      </c>
      <c r="B4" s="45">
        <v>176992</v>
      </c>
      <c r="C4" s="45">
        <v>106992</v>
      </c>
      <c r="D4" s="45">
        <v>70000</v>
      </c>
      <c r="E4" s="116">
        <v>0.39549810160911225</v>
      </c>
    </row>
    <row r="5" spans="1:5" x14ac:dyDescent="0.25">
      <c r="A5" s="115" t="s">
        <v>29</v>
      </c>
      <c r="B5" s="45">
        <v>176992</v>
      </c>
      <c r="C5" s="45">
        <v>106992</v>
      </c>
      <c r="D5" s="45">
        <v>70000</v>
      </c>
      <c r="E5" s="116">
        <v>0.39549810160911225</v>
      </c>
    </row>
    <row r="6" spans="1:5" x14ac:dyDescent="0.25">
      <c r="A6" s="43" t="s">
        <v>39</v>
      </c>
      <c r="B6" s="45">
        <v>313420</v>
      </c>
      <c r="C6" s="45">
        <v>170270</v>
      </c>
      <c r="D6" s="45">
        <v>143150</v>
      </c>
      <c r="E6" s="116">
        <v>0.45673537106757706</v>
      </c>
    </row>
    <row r="7" spans="1:5" x14ac:dyDescent="0.25">
      <c r="A7" s="115" t="s">
        <v>18</v>
      </c>
      <c r="B7" s="45">
        <v>72358</v>
      </c>
      <c r="C7" s="45">
        <v>72358</v>
      </c>
      <c r="D7" s="45">
        <v>0</v>
      </c>
      <c r="E7" s="116">
        <v>0</v>
      </c>
    </row>
    <row r="8" spans="1:5" x14ac:dyDescent="0.25">
      <c r="A8" s="115" t="s">
        <v>25</v>
      </c>
      <c r="B8" s="45">
        <v>30562</v>
      </c>
      <c r="C8" s="45">
        <v>30562</v>
      </c>
      <c r="D8" s="45">
        <v>0</v>
      </c>
      <c r="E8" s="116">
        <v>0</v>
      </c>
    </row>
    <row r="9" spans="1:5" x14ac:dyDescent="0.25">
      <c r="A9" s="115" t="s">
        <v>14</v>
      </c>
      <c r="B9" s="45">
        <v>210500</v>
      </c>
      <c r="C9" s="45">
        <v>67350</v>
      </c>
      <c r="D9" s="45">
        <v>143150</v>
      </c>
      <c r="E9" s="116">
        <v>0.68004750593824226</v>
      </c>
    </row>
    <row r="10" spans="1:5" x14ac:dyDescent="0.25">
      <c r="A10" s="43" t="s">
        <v>41</v>
      </c>
      <c r="B10" s="45">
        <v>14500</v>
      </c>
      <c r="C10" s="45">
        <v>12000</v>
      </c>
      <c r="D10" s="45">
        <v>2500</v>
      </c>
      <c r="E10" s="116">
        <v>0.17241379310344829</v>
      </c>
    </row>
    <row r="11" spans="1:5" x14ac:dyDescent="0.25">
      <c r="A11" s="115" t="s">
        <v>25</v>
      </c>
      <c r="B11" s="45">
        <v>14500</v>
      </c>
      <c r="C11" s="45">
        <v>12000</v>
      </c>
      <c r="D11" s="45">
        <v>2500</v>
      </c>
      <c r="E11" s="116">
        <v>0.17241379310344829</v>
      </c>
    </row>
    <row r="12" spans="1:5" x14ac:dyDescent="0.25">
      <c r="A12" s="43" t="s">
        <v>49</v>
      </c>
      <c r="B12" s="45">
        <v>34560</v>
      </c>
      <c r="C12" s="45">
        <v>17000</v>
      </c>
      <c r="D12" s="45">
        <v>17560</v>
      </c>
      <c r="E12" s="116">
        <v>0.50810185185185186</v>
      </c>
    </row>
    <row r="13" spans="1:5" x14ac:dyDescent="0.25">
      <c r="A13" s="115" t="s">
        <v>14</v>
      </c>
      <c r="B13" s="45">
        <v>34560</v>
      </c>
      <c r="C13" s="45">
        <v>17000</v>
      </c>
      <c r="D13" s="45">
        <v>17560</v>
      </c>
      <c r="E13" s="116">
        <v>0.50810185185185186</v>
      </c>
    </row>
    <row r="14" spans="1:5" x14ac:dyDescent="0.25">
      <c r="A14" s="43" t="s">
        <v>56</v>
      </c>
      <c r="B14" s="45">
        <v>37650</v>
      </c>
      <c r="C14" s="45">
        <v>17000</v>
      </c>
      <c r="D14" s="45">
        <v>20650</v>
      </c>
      <c r="E14" s="116">
        <v>0.54847277556440899</v>
      </c>
    </row>
    <row r="15" spans="1:5" x14ac:dyDescent="0.25">
      <c r="A15" s="115" t="s">
        <v>14</v>
      </c>
      <c r="B15" s="45">
        <v>37650</v>
      </c>
      <c r="C15" s="45">
        <v>17000</v>
      </c>
      <c r="D15" s="45">
        <v>20650</v>
      </c>
      <c r="E15" s="116">
        <v>0.54847277556440899</v>
      </c>
    </row>
    <row r="16" spans="1:5" x14ac:dyDescent="0.25">
      <c r="A16" s="43" t="s">
        <v>66</v>
      </c>
      <c r="B16" s="45">
        <v>577122</v>
      </c>
      <c r="C16" s="45">
        <v>323262</v>
      </c>
      <c r="D16" s="45">
        <v>253860</v>
      </c>
      <c r="E16" s="116">
        <v>0.43987233201991954</v>
      </c>
    </row>
  </sheetData>
  <dataValidations count="1">
    <dataValidation allowBlank="1" error="pavI8MeUFtEyxX2I4tkye13df6ab-c6a7-4963-8bd5-de587948fda7" sqref="A1:C2 D1:D2 E1:E2" xr:uid="{00000000-0002-0000-0300-000000000000}"/>
  </dataValidation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G10"/>
  <sheetViews>
    <sheetView workbookViewId="0">
      <selection activeCell="A5" sqref="A5"/>
    </sheetView>
  </sheetViews>
  <sheetFormatPr defaultRowHeight="15" x14ac:dyDescent="0.25"/>
  <cols>
    <col min="1" max="1" width="16.28515625" bestFit="1" customWidth="1"/>
    <col min="2" max="2" width="17.140625" bestFit="1" customWidth="1"/>
    <col min="3" max="4" width="8.42578125" bestFit="1" customWidth="1"/>
    <col min="5" max="5" width="8.5703125" bestFit="1" customWidth="1"/>
    <col min="6" max="6" width="8.42578125" bestFit="1" customWidth="1"/>
    <col min="7" max="7" width="12" customWidth="1"/>
  </cols>
  <sheetData>
    <row r="1" spans="1:7" ht="57" customHeight="1" x14ac:dyDescent="0.25">
      <c r="A1" s="32"/>
      <c r="B1" s="32"/>
      <c r="C1" s="32"/>
      <c r="D1" s="32"/>
      <c r="E1" s="32"/>
      <c r="F1" s="32"/>
      <c r="G1" s="32"/>
    </row>
    <row r="3" spans="1:7" x14ac:dyDescent="0.25">
      <c r="A3" s="42" t="s">
        <v>122</v>
      </c>
      <c r="B3" s="42" t="s">
        <v>132</v>
      </c>
    </row>
    <row r="4" spans="1:7" x14ac:dyDescent="0.25">
      <c r="A4" s="42" t="s">
        <v>121</v>
      </c>
      <c r="B4" t="s">
        <v>15</v>
      </c>
      <c r="C4" t="s">
        <v>22</v>
      </c>
      <c r="D4" t="s">
        <v>30</v>
      </c>
      <c r="E4" t="s">
        <v>26</v>
      </c>
      <c r="F4" t="s">
        <v>19</v>
      </c>
      <c r="G4" t="s">
        <v>66</v>
      </c>
    </row>
    <row r="5" spans="1:7" x14ac:dyDescent="0.25">
      <c r="A5" s="43" t="s">
        <v>18</v>
      </c>
      <c r="B5" s="15">
        <v>29800</v>
      </c>
      <c r="C5" s="15"/>
      <c r="D5" s="15">
        <v>72358</v>
      </c>
      <c r="E5" s="15"/>
      <c r="F5" s="15">
        <v>74248</v>
      </c>
      <c r="G5" s="15">
        <v>176406</v>
      </c>
    </row>
    <row r="6" spans="1:7" x14ac:dyDescent="0.25">
      <c r="A6" s="43" t="s">
        <v>25</v>
      </c>
      <c r="B6" s="15">
        <v>31250</v>
      </c>
      <c r="C6" s="15">
        <v>100800</v>
      </c>
      <c r="D6" s="15">
        <v>45062</v>
      </c>
      <c r="E6" s="15">
        <v>81418</v>
      </c>
      <c r="F6" s="15"/>
      <c r="G6" s="15">
        <v>258530</v>
      </c>
    </row>
    <row r="7" spans="1:7" x14ac:dyDescent="0.25">
      <c r="A7" s="43" t="s">
        <v>14</v>
      </c>
      <c r="B7" s="15">
        <v>241067</v>
      </c>
      <c r="C7" s="15">
        <v>230798</v>
      </c>
      <c r="D7" s="15">
        <v>282710</v>
      </c>
      <c r="E7" s="15">
        <v>28500</v>
      </c>
      <c r="F7" s="15">
        <v>75250</v>
      </c>
      <c r="G7" s="15">
        <v>858325</v>
      </c>
    </row>
    <row r="8" spans="1:7" x14ac:dyDescent="0.25">
      <c r="A8" s="43" t="s">
        <v>29</v>
      </c>
      <c r="B8" s="15"/>
      <c r="C8" s="15"/>
      <c r="D8" s="15">
        <v>142236</v>
      </c>
      <c r="E8" s="15">
        <v>168687</v>
      </c>
      <c r="F8" s="15">
        <v>44255</v>
      </c>
      <c r="G8" s="15">
        <v>355178</v>
      </c>
    </row>
    <row r="9" spans="1:7" x14ac:dyDescent="0.25">
      <c r="A9" s="43" t="s">
        <v>65</v>
      </c>
      <c r="B9" s="15"/>
      <c r="C9" s="15"/>
      <c r="D9" s="15">
        <v>34756</v>
      </c>
      <c r="E9" s="15"/>
      <c r="F9" s="15"/>
      <c r="G9" s="15">
        <v>34756</v>
      </c>
    </row>
    <row r="10" spans="1:7" x14ac:dyDescent="0.25">
      <c r="A10" s="43" t="s">
        <v>66</v>
      </c>
      <c r="B10" s="15">
        <v>302117</v>
      </c>
      <c r="C10" s="15">
        <v>331598</v>
      </c>
      <c r="D10" s="15">
        <v>577122</v>
      </c>
      <c r="E10" s="15">
        <v>278605</v>
      </c>
      <c r="F10" s="15">
        <v>193753</v>
      </c>
      <c r="G10" s="15">
        <v>1683195</v>
      </c>
    </row>
  </sheetData>
  <dataValidations count="1">
    <dataValidation allowBlank="1" error="pavI8MeUFtEyxX2I4tkye13df6ab-c6a7-4963-8bd5-de587948fda7" sqref="A1:G2" xr:uid="{00000000-0002-0000-0400-000000000000}"/>
  </dataValidation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C15"/>
  <sheetViews>
    <sheetView workbookViewId="0">
      <selection activeCell="C4" sqref="C4:C15"/>
    </sheetView>
  </sheetViews>
  <sheetFormatPr defaultRowHeight="15" x14ac:dyDescent="0.25"/>
  <cols>
    <col min="1" max="1" width="10.140625" bestFit="1" customWidth="1"/>
    <col min="2" max="2" width="19.5703125" bestFit="1" customWidth="1"/>
    <col min="3" max="3" width="13.7109375" bestFit="1" customWidth="1"/>
  </cols>
  <sheetData>
    <row r="1" spans="1:3" ht="57" customHeight="1" x14ac:dyDescent="0.25">
      <c r="A1" s="32"/>
      <c r="B1" s="32"/>
      <c r="C1" s="32"/>
    </row>
    <row r="3" spans="1:3" x14ac:dyDescent="0.25">
      <c r="A3" t="s">
        <v>110</v>
      </c>
      <c r="B3" t="s">
        <v>133</v>
      </c>
      <c r="C3" t="s">
        <v>134</v>
      </c>
    </row>
    <row r="4" spans="1:3" x14ac:dyDescent="0.25">
      <c r="A4" s="114" t="s">
        <v>135</v>
      </c>
      <c r="B4">
        <v>1</v>
      </c>
      <c r="C4" s="15">
        <v>150383.32999999999</v>
      </c>
    </row>
    <row r="5" spans="1:3" x14ac:dyDescent="0.25">
      <c r="A5" s="114" t="s">
        <v>136</v>
      </c>
      <c r="B5">
        <v>2</v>
      </c>
      <c r="C5" s="15">
        <v>158308.32999999999</v>
      </c>
    </row>
    <row r="6" spans="1:3" x14ac:dyDescent="0.25">
      <c r="A6" s="114" t="s">
        <v>126</v>
      </c>
      <c r="B6">
        <v>3</v>
      </c>
      <c r="C6" s="15">
        <v>154791.67000000001</v>
      </c>
    </row>
    <row r="7" spans="1:3" x14ac:dyDescent="0.25">
      <c r="A7" s="114" t="s">
        <v>137</v>
      </c>
      <c r="B7">
        <v>4</v>
      </c>
      <c r="C7" s="15">
        <v>153508.32999999999</v>
      </c>
    </row>
    <row r="8" spans="1:3" x14ac:dyDescent="0.25">
      <c r="A8" s="114" t="s">
        <v>138</v>
      </c>
      <c r="B8">
        <v>5</v>
      </c>
      <c r="C8" s="15">
        <v>150541.67000000001</v>
      </c>
    </row>
    <row r="9" spans="1:3" x14ac:dyDescent="0.25">
      <c r="A9" s="114" t="s">
        <v>139</v>
      </c>
      <c r="B9">
        <v>6</v>
      </c>
      <c r="C9" s="15">
        <v>142700</v>
      </c>
    </row>
    <row r="10" spans="1:3" x14ac:dyDescent="0.25">
      <c r="A10" s="114" t="s">
        <v>140</v>
      </c>
      <c r="B10">
        <v>7</v>
      </c>
      <c r="C10" s="15">
        <v>150808.32999999999</v>
      </c>
    </row>
    <row r="11" spans="1:3" x14ac:dyDescent="0.25">
      <c r="A11" s="114" t="s">
        <v>141</v>
      </c>
      <c r="B11">
        <v>8</v>
      </c>
      <c r="C11" s="15">
        <v>151783.32999999999</v>
      </c>
    </row>
    <row r="12" spans="1:3" x14ac:dyDescent="0.25">
      <c r="A12" s="114" t="s">
        <v>142</v>
      </c>
      <c r="B12">
        <v>9</v>
      </c>
      <c r="C12" s="15">
        <v>152600</v>
      </c>
    </row>
    <row r="13" spans="1:3" x14ac:dyDescent="0.25">
      <c r="A13" s="114" t="s">
        <v>143</v>
      </c>
      <c r="B13">
        <v>10</v>
      </c>
      <c r="C13" s="15">
        <v>158391.67000000001</v>
      </c>
    </row>
    <row r="14" spans="1:3" x14ac:dyDescent="0.25">
      <c r="A14" s="114" t="s">
        <v>144</v>
      </c>
      <c r="B14">
        <v>11</v>
      </c>
      <c r="C14" s="15">
        <v>158508.32999999999</v>
      </c>
    </row>
    <row r="15" spans="1:3" x14ac:dyDescent="0.25">
      <c r="A15" s="114" t="s">
        <v>145</v>
      </c>
      <c r="B15">
        <v>12</v>
      </c>
      <c r="C15" s="15">
        <v>157725</v>
      </c>
    </row>
  </sheetData>
  <dataValidations count="1">
    <dataValidation allowBlank="1" error="pavI8MeUFtEyxX2I4tkye13df6ab-c6a7-4963-8bd5-de587948fda7" sqref="A1:C14" xr:uid="{00000000-0002-0000-0500-000000000000}"/>
  </dataValidation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9"/>
  <sheetViews>
    <sheetView workbookViewId="0">
      <selection activeCell="C6" sqref="C6"/>
    </sheetView>
  </sheetViews>
  <sheetFormatPr defaultRowHeight="15" x14ac:dyDescent="0.25"/>
  <cols>
    <col min="1" max="2" width="14" bestFit="1" customWidth="1"/>
    <col min="3" max="3" width="26.140625" bestFit="1" customWidth="1"/>
  </cols>
  <sheetData>
    <row r="1" spans="1:3" ht="57" customHeight="1" x14ac:dyDescent="0.25">
      <c r="A1" s="32"/>
      <c r="B1" s="32"/>
      <c r="C1" s="32"/>
    </row>
    <row r="3" spans="1:3" x14ac:dyDescent="0.25">
      <c r="A3" s="42" t="s">
        <v>121</v>
      </c>
      <c r="B3" t="s">
        <v>151</v>
      </c>
      <c r="C3" t="s">
        <v>152</v>
      </c>
    </row>
    <row r="4" spans="1:3" x14ac:dyDescent="0.25">
      <c r="A4" s="43" t="s">
        <v>146</v>
      </c>
      <c r="B4" s="114">
        <v>49</v>
      </c>
      <c r="C4" s="117">
        <v>4.5714285714285712</v>
      </c>
    </row>
    <row r="5" spans="1:3" x14ac:dyDescent="0.25">
      <c r="A5" s="43" t="s">
        <v>150</v>
      </c>
      <c r="B5" s="114">
        <v>47</v>
      </c>
      <c r="C5" s="117">
        <v>4.4680851063829783</v>
      </c>
    </row>
    <row r="6" spans="1:3" x14ac:dyDescent="0.25">
      <c r="A6" s="43" t="s">
        <v>148</v>
      </c>
      <c r="B6" s="114">
        <v>49</v>
      </c>
      <c r="C6" s="117">
        <v>4.4285714285714288</v>
      </c>
    </row>
    <row r="7" spans="1:3" x14ac:dyDescent="0.25">
      <c r="A7" s="43" t="s">
        <v>147</v>
      </c>
      <c r="B7" s="114">
        <v>48</v>
      </c>
      <c r="C7" s="117">
        <v>5.270833333333333</v>
      </c>
    </row>
    <row r="8" spans="1:3" x14ac:dyDescent="0.25">
      <c r="A8" s="43" t="s">
        <v>149</v>
      </c>
      <c r="B8" s="114">
        <v>48</v>
      </c>
      <c r="C8" s="117">
        <v>4.541666666666667</v>
      </c>
    </row>
    <row r="9" spans="1:3" x14ac:dyDescent="0.25">
      <c r="A9" s="43" t="s">
        <v>66</v>
      </c>
      <c r="B9" s="114">
        <v>241</v>
      </c>
      <c r="C9" s="117">
        <v>4.6556016597510377</v>
      </c>
    </row>
  </sheetData>
  <dataValidations count="1">
    <dataValidation allowBlank="1" error="pavI8MeUFtEyxX2I4tkye13df6ab-c6a7-4963-8bd5-de587948fda7" sqref="A1:C1" xr:uid="{00000000-0002-0000-0600-000000000000}"/>
  </dataValidation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L35"/>
  <sheetViews>
    <sheetView showGridLines="0" topLeftCell="A13" zoomScale="120" zoomScaleNormal="120" workbookViewId="0">
      <selection activeCell="B35" sqref="B35"/>
    </sheetView>
  </sheetViews>
  <sheetFormatPr defaultRowHeight="15" x14ac:dyDescent="0.25"/>
  <cols>
    <col min="1" max="1" width="24.7109375" customWidth="1"/>
    <col min="2" max="12" width="11.7109375" customWidth="1"/>
  </cols>
  <sheetData>
    <row r="1" spans="1:12" ht="57" customHeight="1" x14ac:dyDescent="0.25">
      <c r="A1" s="32"/>
      <c r="B1" s="32"/>
      <c r="C1" s="32"/>
      <c r="D1" s="32"/>
      <c r="E1" s="32"/>
      <c r="F1" s="32"/>
      <c r="G1" s="32"/>
      <c r="H1" s="32"/>
      <c r="I1" s="32"/>
      <c r="J1" s="32"/>
      <c r="K1" s="32"/>
    </row>
    <row r="2" spans="1:12" ht="15.75" thickBot="1" x14ac:dyDescent="0.3"/>
    <row r="3" spans="1:12" ht="15.75" thickBot="1" x14ac:dyDescent="0.3">
      <c r="A3" s="40" t="s">
        <v>95</v>
      </c>
      <c r="B3" s="123" t="s">
        <v>96</v>
      </c>
      <c r="C3" s="123"/>
      <c r="E3" s="53" t="s">
        <v>94</v>
      </c>
      <c r="F3" s="44"/>
      <c r="G3" s="44"/>
    </row>
    <row r="4" spans="1:12" x14ac:dyDescent="0.25">
      <c r="A4" s="17" t="s">
        <v>70</v>
      </c>
      <c r="B4" s="54"/>
      <c r="C4" s="48">
        <v>800000</v>
      </c>
      <c r="E4" s="17" t="s">
        <v>97</v>
      </c>
      <c r="F4" s="54"/>
      <c r="G4" s="48">
        <f>C4</f>
        <v>800000</v>
      </c>
      <c r="H4" s="69"/>
    </row>
    <row r="5" spans="1:12" x14ac:dyDescent="0.25">
      <c r="A5" s="21" t="s">
        <v>71</v>
      </c>
      <c r="B5" s="22"/>
      <c r="C5" s="51">
        <v>4.4499999999999998E-2</v>
      </c>
      <c r="E5" t="s">
        <v>98</v>
      </c>
      <c r="G5" s="15">
        <v>128000</v>
      </c>
    </row>
    <row r="6" spans="1:12" x14ac:dyDescent="0.25">
      <c r="A6" s="47" t="s">
        <v>72</v>
      </c>
      <c r="B6" s="47"/>
      <c r="C6" s="52">
        <f>C5/12</f>
        <v>3.708333333333333E-3</v>
      </c>
      <c r="E6" s="47" t="s">
        <v>99</v>
      </c>
      <c r="F6" s="47"/>
      <c r="G6" s="47">
        <v>10</v>
      </c>
    </row>
    <row r="7" spans="1:12" x14ac:dyDescent="0.25">
      <c r="A7" t="s">
        <v>73</v>
      </c>
      <c r="C7">
        <v>10</v>
      </c>
    </row>
    <row r="8" spans="1:12" x14ac:dyDescent="0.25">
      <c r="A8" s="47" t="s">
        <v>74</v>
      </c>
      <c r="B8" s="47"/>
      <c r="C8" s="47">
        <f>C7*12</f>
        <v>120</v>
      </c>
    </row>
    <row r="9" spans="1:12" x14ac:dyDescent="0.25">
      <c r="A9" t="s">
        <v>75</v>
      </c>
      <c r="C9" s="49">
        <f>PMT(C6,C8,C4)</f>
        <v>-8271.8045002464623</v>
      </c>
    </row>
    <row r="10" spans="1:12" x14ac:dyDescent="0.25">
      <c r="A10" s="47" t="s">
        <v>76</v>
      </c>
      <c r="B10" s="47"/>
      <c r="C10" s="50">
        <v>44567</v>
      </c>
    </row>
    <row r="11" spans="1:12" ht="15.75" thickBot="1" x14ac:dyDescent="0.3"/>
    <row r="12" spans="1:12" ht="15.75" thickBot="1" x14ac:dyDescent="0.3">
      <c r="A12" s="53" t="s">
        <v>77</v>
      </c>
      <c r="B12" s="53"/>
      <c r="C12" s="40"/>
      <c r="D12" s="40"/>
      <c r="E12" s="40"/>
      <c r="F12" s="40"/>
      <c r="G12" s="40"/>
      <c r="H12" s="40"/>
      <c r="I12" s="40"/>
      <c r="J12" s="40"/>
      <c r="K12" s="40"/>
    </row>
    <row r="13" spans="1:12" x14ac:dyDescent="0.25">
      <c r="A13" s="79" t="s">
        <v>101</v>
      </c>
      <c r="B13" s="55">
        <v>1</v>
      </c>
      <c r="C13" s="56">
        <v>2</v>
      </c>
      <c r="D13" s="56">
        <v>3</v>
      </c>
      <c r="E13" s="56">
        <v>4</v>
      </c>
      <c r="F13" s="56">
        <v>5</v>
      </c>
      <c r="G13" s="56">
        <v>6</v>
      </c>
      <c r="H13" s="56">
        <v>7</v>
      </c>
      <c r="I13" s="56">
        <v>8</v>
      </c>
      <c r="J13" s="56">
        <v>9</v>
      </c>
      <c r="K13" s="57">
        <v>10</v>
      </c>
    </row>
    <row r="14" spans="1:12" ht="18" customHeight="1" x14ac:dyDescent="0.25">
      <c r="A14" s="124" t="s">
        <v>93</v>
      </c>
      <c r="B14" s="58">
        <v>1</v>
      </c>
      <c r="C14" s="59">
        <v>13</v>
      </c>
      <c r="D14" s="59">
        <v>25</v>
      </c>
      <c r="E14" s="59">
        <v>37</v>
      </c>
      <c r="F14" s="59">
        <v>49</v>
      </c>
      <c r="G14" s="60">
        <v>61</v>
      </c>
      <c r="H14" s="59">
        <v>73</v>
      </c>
      <c r="I14" s="59">
        <v>85</v>
      </c>
      <c r="J14" s="59">
        <v>97</v>
      </c>
      <c r="K14" s="61">
        <v>109</v>
      </c>
    </row>
    <row r="15" spans="1:12" ht="18" customHeight="1" x14ac:dyDescent="0.25">
      <c r="A15" s="125"/>
      <c r="B15" s="62">
        <v>12</v>
      </c>
      <c r="C15" s="63">
        <v>24</v>
      </c>
      <c r="D15" s="63">
        <v>36</v>
      </c>
      <c r="E15" s="63">
        <v>48</v>
      </c>
      <c r="F15" s="63">
        <v>60</v>
      </c>
      <c r="G15" s="63">
        <v>72</v>
      </c>
      <c r="H15" s="63">
        <v>84</v>
      </c>
      <c r="I15" s="63">
        <v>96</v>
      </c>
      <c r="J15" s="63">
        <v>108</v>
      </c>
      <c r="K15" s="64">
        <v>120</v>
      </c>
      <c r="L15" s="67" t="s">
        <v>92</v>
      </c>
    </row>
    <row r="16" spans="1:12" x14ac:dyDescent="0.25">
      <c r="A16" s="75" t="s">
        <v>88</v>
      </c>
      <c r="B16" s="109">
        <f>CUMIPMT($C$6,$C$8,$C$4,B14,B15,0)</f>
        <v>-34285.382731232865</v>
      </c>
      <c r="C16" s="109">
        <f>CUMIPMT($C$6,$C$8,$C$4,C14,C15,0)</f>
        <v>-31334.230152727177</v>
      </c>
      <c r="D16" s="109">
        <f t="shared" ref="D16:K16" si="0">CUMIPMT($C$6,$C$8,$C$4,D14,D15,0)</f>
        <v>-28249.039388108897</v>
      </c>
      <c r="E16" s="109">
        <f t="shared" si="0"/>
        <v>-25023.722566670447</v>
      </c>
      <c r="F16" s="109">
        <f t="shared" si="0"/>
        <v>-21651.915313143632</v>
      </c>
      <c r="G16" s="109">
        <f t="shared" si="0"/>
        <v>-18126.964189158985</v>
      </c>
      <c r="H16" s="109">
        <f t="shared" si="0"/>
        <v>-14441.913564309594</v>
      </c>
      <c r="I16" s="109">
        <f t="shared" si="0"/>
        <v>-10589.491890912846</v>
      </c>
      <c r="J16" s="109">
        <f t="shared" si="0"/>
        <v>-6562.0973553862714</v>
      </c>
      <c r="K16" s="109">
        <f t="shared" si="0"/>
        <v>-2351.7828779246775</v>
      </c>
      <c r="L16" s="65">
        <f>SUM(B16:K16)</f>
        <v>-192616.54002957541</v>
      </c>
    </row>
    <row r="17" spans="1:12" x14ac:dyDescent="0.25">
      <c r="A17" s="83" t="s">
        <v>89</v>
      </c>
      <c r="B17" s="110">
        <f>CUMPRINC($C$6,$C$8,$C$4,B14,B15,0)</f>
        <v>-64976.271271724676</v>
      </c>
      <c r="C17" s="110">
        <f t="shared" ref="C17:K17" si="1">CUMPRINC($C$6,$C$8,$C$4,C14,C15,0)</f>
        <v>-67927.423850230363</v>
      </c>
      <c r="D17" s="110">
        <f t="shared" si="1"/>
        <v>-71012.614614848644</v>
      </c>
      <c r="E17" s="110">
        <f t="shared" si="1"/>
        <v>-74237.931436287094</v>
      </c>
      <c r="F17" s="110">
        <f t="shared" si="1"/>
        <v>-77609.738689813908</v>
      </c>
      <c r="G17" s="110">
        <f t="shared" si="1"/>
        <v>-81134.689813798555</v>
      </c>
      <c r="H17" s="110">
        <f t="shared" si="1"/>
        <v>-84819.740438647947</v>
      </c>
      <c r="I17" s="110">
        <f t="shared" si="1"/>
        <v>-88672.162112044694</v>
      </c>
      <c r="J17" s="110">
        <f t="shared" si="1"/>
        <v>-92699.556647571269</v>
      </c>
      <c r="K17" s="110">
        <f t="shared" si="1"/>
        <v>-96909.871125032863</v>
      </c>
      <c r="L17" s="66">
        <f>SUM(B17:K17)</f>
        <v>-800000</v>
      </c>
    </row>
    <row r="18" spans="1:12" x14ac:dyDescent="0.25">
      <c r="A18" s="80" t="s">
        <v>90</v>
      </c>
      <c r="B18" s="68">
        <f>$C$4+B17</f>
        <v>735023.72872827528</v>
      </c>
      <c r="C18" s="68">
        <f>B18+C17</f>
        <v>667096.30487804487</v>
      </c>
      <c r="D18" s="68">
        <f t="shared" ref="D18:K18" si="2">C18+D17</f>
        <v>596083.69026319624</v>
      </c>
      <c r="E18" s="68">
        <f t="shared" si="2"/>
        <v>521845.75882690912</v>
      </c>
      <c r="F18" s="68">
        <f t="shared" si="2"/>
        <v>444236.02013709524</v>
      </c>
      <c r="G18" s="68">
        <f t="shared" si="2"/>
        <v>363101.33032329672</v>
      </c>
      <c r="H18" s="68">
        <f t="shared" si="2"/>
        <v>278281.5898846488</v>
      </c>
      <c r="I18" s="68">
        <f t="shared" si="2"/>
        <v>189609.4277726041</v>
      </c>
      <c r="J18" s="68">
        <f t="shared" si="2"/>
        <v>96909.871125032834</v>
      </c>
      <c r="K18" s="70">
        <f t="shared" si="2"/>
        <v>0</v>
      </c>
    </row>
    <row r="19" spans="1:12" x14ac:dyDescent="0.25">
      <c r="A19" s="84" t="s">
        <v>91</v>
      </c>
      <c r="B19" s="108">
        <f>B18/$C$4</f>
        <v>0.91877966091034413</v>
      </c>
      <c r="C19" s="108">
        <f t="shared" ref="C19:K19" si="3">C18/$C$4</f>
        <v>0.83387038109755607</v>
      </c>
      <c r="D19" s="108">
        <f t="shared" si="3"/>
        <v>0.74510461282899532</v>
      </c>
      <c r="E19" s="108">
        <f t="shared" si="3"/>
        <v>0.65230719853363639</v>
      </c>
      <c r="F19" s="108">
        <f t="shared" si="3"/>
        <v>0.55529502517136908</v>
      </c>
      <c r="G19" s="108">
        <f t="shared" si="3"/>
        <v>0.45387666290412088</v>
      </c>
      <c r="H19" s="108">
        <f t="shared" si="3"/>
        <v>0.34785198735581102</v>
      </c>
      <c r="I19" s="108">
        <f t="shared" si="3"/>
        <v>0.23701178471575512</v>
      </c>
      <c r="J19" s="108">
        <f t="shared" si="3"/>
        <v>0.12113733890629104</v>
      </c>
      <c r="K19" s="108">
        <f t="shared" si="3"/>
        <v>0</v>
      </c>
    </row>
    <row r="20" spans="1:12" ht="15.75" thickBot="1" x14ac:dyDescent="0.3"/>
    <row r="21" spans="1:12" ht="15.75" thickBot="1" x14ac:dyDescent="0.3">
      <c r="A21" s="53" t="s">
        <v>100</v>
      </c>
      <c r="B21" s="53"/>
      <c r="C21" s="44"/>
      <c r="D21" s="44"/>
      <c r="E21" s="44"/>
      <c r="F21" s="44"/>
      <c r="G21" s="44"/>
      <c r="H21" s="44"/>
      <c r="I21" s="44"/>
      <c r="J21" s="44"/>
      <c r="K21" s="74"/>
    </row>
    <row r="22" spans="1:12" x14ac:dyDescent="0.25">
      <c r="A22" s="78" t="s">
        <v>101</v>
      </c>
      <c r="B22" s="56">
        <v>1</v>
      </c>
      <c r="C22" s="56">
        <v>2</v>
      </c>
      <c r="D22" s="56">
        <v>3</v>
      </c>
      <c r="E22" s="56">
        <v>4</v>
      </c>
      <c r="F22" s="56">
        <v>5</v>
      </c>
      <c r="G22" s="56">
        <v>6</v>
      </c>
      <c r="H22" s="56">
        <v>7</v>
      </c>
      <c r="I22" s="56">
        <v>8</v>
      </c>
      <c r="J22" s="56">
        <v>9</v>
      </c>
      <c r="K22" s="57">
        <v>10</v>
      </c>
    </row>
    <row r="23" spans="1:12" x14ac:dyDescent="0.25">
      <c r="A23" s="80" t="s">
        <v>102</v>
      </c>
      <c r="B23" s="48">
        <f>SLN($G$4,$G$5,$G$6)</f>
        <v>67200</v>
      </c>
      <c r="C23" s="48">
        <f>SLN($G$4,$G$5,$G$6)</f>
        <v>67200</v>
      </c>
      <c r="D23" s="48">
        <f t="shared" ref="D23:K23" si="4">SLN($G$4,$G$5,$G$6)</f>
        <v>67200</v>
      </c>
      <c r="E23" s="48">
        <f t="shared" si="4"/>
        <v>67200</v>
      </c>
      <c r="F23" s="48">
        <f t="shared" si="4"/>
        <v>67200</v>
      </c>
      <c r="G23" s="48">
        <f t="shared" si="4"/>
        <v>67200</v>
      </c>
      <c r="H23" s="48">
        <f t="shared" si="4"/>
        <v>67200</v>
      </c>
      <c r="I23" s="48">
        <f t="shared" si="4"/>
        <v>67200</v>
      </c>
      <c r="J23" s="48">
        <f t="shared" si="4"/>
        <v>67200</v>
      </c>
      <c r="K23" s="48">
        <f t="shared" si="4"/>
        <v>67200</v>
      </c>
    </row>
    <row r="24" spans="1:12" x14ac:dyDescent="0.25">
      <c r="A24" s="76" t="s">
        <v>103</v>
      </c>
      <c r="B24" s="15">
        <f>B23</f>
        <v>67200</v>
      </c>
      <c r="C24" s="15">
        <f>B24+C23</f>
        <v>134400</v>
      </c>
      <c r="D24" s="15">
        <f t="shared" ref="D24:K24" si="5">C24+D23</f>
        <v>201600</v>
      </c>
      <c r="E24" s="15">
        <f t="shared" si="5"/>
        <v>268800</v>
      </c>
      <c r="F24" s="15">
        <f t="shared" si="5"/>
        <v>336000</v>
      </c>
      <c r="G24" s="15">
        <f t="shared" si="5"/>
        <v>403200</v>
      </c>
      <c r="H24" s="15">
        <f t="shared" si="5"/>
        <v>470400</v>
      </c>
      <c r="I24" s="15">
        <f t="shared" si="5"/>
        <v>537600</v>
      </c>
      <c r="J24" s="15">
        <f t="shared" si="5"/>
        <v>604800</v>
      </c>
      <c r="K24" s="72">
        <f t="shared" si="5"/>
        <v>672000</v>
      </c>
    </row>
    <row r="25" spans="1:12" x14ac:dyDescent="0.25">
      <c r="A25" s="77" t="s">
        <v>104</v>
      </c>
      <c r="B25" s="71">
        <f>$G$4-B24</f>
        <v>732800</v>
      </c>
      <c r="C25" s="71">
        <f t="shared" ref="C25:K25" si="6">$G$4-C24</f>
        <v>665600</v>
      </c>
      <c r="D25" s="71">
        <f t="shared" si="6"/>
        <v>598400</v>
      </c>
      <c r="E25" s="71">
        <f t="shared" si="6"/>
        <v>531200</v>
      </c>
      <c r="F25" s="71">
        <f t="shared" si="6"/>
        <v>464000</v>
      </c>
      <c r="G25" s="71">
        <f t="shared" si="6"/>
        <v>396800</v>
      </c>
      <c r="H25" s="71">
        <f t="shared" si="6"/>
        <v>329600</v>
      </c>
      <c r="I25" s="71">
        <f t="shared" si="6"/>
        <v>262400</v>
      </c>
      <c r="J25" s="71">
        <f t="shared" si="6"/>
        <v>195200</v>
      </c>
      <c r="K25" s="73">
        <f t="shared" si="6"/>
        <v>128000</v>
      </c>
    </row>
    <row r="26" spans="1:12" ht="15.75" thickBot="1" x14ac:dyDescent="0.3"/>
    <row r="27" spans="1:12" ht="15.75" thickBot="1" x14ac:dyDescent="0.3">
      <c r="A27" s="53" t="s">
        <v>105</v>
      </c>
      <c r="B27" s="53"/>
      <c r="C27" s="44"/>
      <c r="D27" s="44"/>
      <c r="E27" s="44"/>
      <c r="F27" s="44"/>
      <c r="G27" s="44"/>
      <c r="H27" s="44"/>
      <c r="I27" s="44"/>
      <c r="J27" s="44"/>
      <c r="K27" s="74"/>
    </row>
    <row r="28" spans="1:12" x14ac:dyDescent="0.25">
      <c r="A28" s="78" t="s">
        <v>101</v>
      </c>
      <c r="B28" s="56">
        <v>1</v>
      </c>
      <c r="C28" s="56">
        <v>2</v>
      </c>
      <c r="D28" s="56">
        <v>3</v>
      </c>
      <c r="E28" s="56">
        <v>4</v>
      </c>
      <c r="F28" s="56">
        <v>5</v>
      </c>
      <c r="G28" s="56">
        <v>6</v>
      </c>
      <c r="H28" s="56">
        <v>7</v>
      </c>
      <c r="I28" s="56">
        <v>8</v>
      </c>
      <c r="J28" s="56">
        <v>9</v>
      </c>
      <c r="K28" s="57">
        <v>10</v>
      </c>
    </row>
    <row r="29" spans="1:12" x14ac:dyDescent="0.25">
      <c r="A29" s="75" t="s">
        <v>102</v>
      </c>
      <c r="B29" s="48">
        <f>DB($G$4,$G$5,$G$6,B28)</f>
        <v>133600</v>
      </c>
      <c r="C29" s="48">
        <f t="shared" ref="C29:K29" si="7">DB($G$4,$G$5,$G$6,C28)</f>
        <v>111288.8</v>
      </c>
      <c r="D29" s="48">
        <f t="shared" si="7"/>
        <v>92703.570399999997</v>
      </c>
      <c r="E29" s="48">
        <f t="shared" si="7"/>
        <v>77222.074143200007</v>
      </c>
      <c r="F29" s="48">
        <f t="shared" si="7"/>
        <v>64325.9877612856</v>
      </c>
      <c r="G29" s="48">
        <f t="shared" si="7"/>
        <v>53583.547805150898</v>
      </c>
      <c r="H29" s="48">
        <f t="shared" si="7"/>
        <v>44635.0953216907</v>
      </c>
      <c r="I29" s="48">
        <f t="shared" si="7"/>
        <v>37181.034402968355</v>
      </c>
      <c r="J29" s="48">
        <f t="shared" si="7"/>
        <v>30971.801657672633</v>
      </c>
      <c r="K29" s="48">
        <f t="shared" si="7"/>
        <v>25799.510780841305</v>
      </c>
    </row>
    <row r="30" spans="1:12" x14ac:dyDescent="0.25">
      <c r="A30" s="76" t="s">
        <v>103</v>
      </c>
      <c r="B30" s="15">
        <f>B29</f>
        <v>133600</v>
      </c>
      <c r="C30" s="15">
        <f>B30+C29</f>
        <v>244888.8</v>
      </c>
      <c r="D30" s="15">
        <f t="shared" ref="D30" si="8">C30+D29</f>
        <v>337592.37040000001</v>
      </c>
      <c r="E30" s="15">
        <f t="shared" ref="E30" si="9">D30+E29</f>
        <v>414814.44454320002</v>
      </c>
      <c r="F30" s="15">
        <f t="shared" ref="F30" si="10">E30+F29</f>
        <v>479140.43230448564</v>
      </c>
      <c r="G30" s="15">
        <f t="shared" ref="G30" si="11">F30+G29</f>
        <v>532723.98010963656</v>
      </c>
      <c r="H30" s="15">
        <f t="shared" ref="H30" si="12">G30+H29</f>
        <v>577359.07543132722</v>
      </c>
      <c r="I30" s="15">
        <f t="shared" ref="I30" si="13">H30+I29</f>
        <v>614540.10983429558</v>
      </c>
      <c r="J30" s="15">
        <f t="shared" ref="J30" si="14">I30+J29</f>
        <v>645511.9114919682</v>
      </c>
      <c r="K30" s="72">
        <f t="shared" ref="K30" si="15">J30+K29</f>
        <v>671311.42227280955</v>
      </c>
    </row>
    <row r="31" spans="1:12" x14ac:dyDescent="0.25">
      <c r="A31" s="77" t="s">
        <v>104</v>
      </c>
      <c r="B31" s="71">
        <f>$G$4-B30</f>
        <v>666400</v>
      </c>
      <c r="C31" s="71">
        <f t="shared" ref="C31" si="16">$G$4-C30</f>
        <v>555111.19999999995</v>
      </c>
      <c r="D31" s="71">
        <f t="shared" ref="D31" si="17">$G$4-D30</f>
        <v>462407.62959999999</v>
      </c>
      <c r="E31" s="71">
        <f t="shared" ref="E31" si="18">$G$4-E30</f>
        <v>385185.55545679998</v>
      </c>
      <c r="F31" s="71">
        <f t="shared" ref="F31" si="19">$G$4-F30</f>
        <v>320859.56769551436</v>
      </c>
      <c r="G31" s="71">
        <f t="shared" ref="G31" si="20">$G$4-G30</f>
        <v>267276.01989036344</v>
      </c>
      <c r="H31" s="71">
        <f t="shared" ref="H31" si="21">$G$4-H30</f>
        <v>222640.92456867278</v>
      </c>
      <c r="I31" s="71">
        <f t="shared" ref="I31" si="22">$G$4-I30</f>
        <v>185459.89016570442</v>
      </c>
      <c r="J31" s="71">
        <f t="shared" ref="J31" si="23">$G$4-J30</f>
        <v>154488.0885080318</v>
      </c>
      <c r="K31" s="73">
        <f t="shared" ref="K31" si="24">$G$4-K30</f>
        <v>128688.57772719045</v>
      </c>
    </row>
    <row r="32" spans="1:12" ht="15.75" thickBot="1" x14ac:dyDescent="0.3"/>
    <row r="33" spans="1:2" ht="15.75" thickBot="1" x14ac:dyDescent="0.3">
      <c r="A33" s="53" t="s">
        <v>106</v>
      </c>
      <c r="B33" s="74"/>
    </row>
    <row r="34" spans="1:2" x14ac:dyDescent="0.25">
      <c r="A34" s="81" t="s">
        <v>107</v>
      </c>
      <c r="B34" s="111">
        <f>SYD(G4,G5,G6,B28)</f>
        <v>122181.81818181818</v>
      </c>
    </row>
    <row r="35" spans="1:2" x14ac:dyDescent="0.25">
      <c r="A35" s="82" t="s">
        <v>108</v>
      </c>
      <c r="B35" s="112">
        <f>SYD(G4,G5,G6,K28)</f>
        <v>12218.181818181818</v>
      </c>
    </row>
  </sheetData>
  <mergeCells count="2">
    <mergeCell ref="B3:C3"/>
    <mergeCell ref="A14:A15"/>
  </mergeCells>
  <dataValidations count="1">
    <dataValidation allowBlank="1" error="pavI8MeUFtEyxX2I4tkye13df6ab-c6a7-4963-8bd5-de587948fda7" sqref="A1:L35" xr:uid="{00000000-0002-0000-0700-000000000000}"/>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K20"/>
  <sheetViews>
    <sheetView showGridLines="0" tabSelected="1" zoomScale="120" zoomScaleNormal="120" workbookViewId="0">
      <selection activeCell="B18" sqref="B18"/>
    </sheetView>
  </sheetViews>
  <sheetFormatPr defaultRowHeight="15" x14ac:dyDescent="0.25"/>
  <cols>
    <col min="1" max="1" width="20.28515625" bestFit="1" customWidth="1"/>
    <col min="2" max="2" width="11.5703125" bestFit="1" customWidth="1"/>
    <col min="3" max="3" width="13.7109375" bestFit="1" customWidth="1"/>
    <col min="4" max="4" width="4.85546875" customWidth="1"/>
    <col min="5" max="5" width="11" bestFit="1" customWidth="1"/>
    <col min="11" max="11" width="12" customWidth="1"/>
  </cols>
  <sheetData>
    <row r="1" spans="1:11" ht="57" customHeight="1" x14ac:dyDescent="0.25">
      <c r="A1" s="32"/>
      <c r="B1" s="32"/>
      <c r="C1" s="32"/>
      <c r="D1" s="32"/>
      <c r="E1" s="32"/>
      <c r="F1" s="32"/>
      <c r="G1" s="32"/>
      <c r="H1" s="32"/>
      <c r="I1" s="32"/>
      <c r="J1" s="32"/>
      <c r="K1" s="32"/>
    </row>
    <row r="2" spans="1:11" ht="15.75" thickBot="1" x14ac:dyDescent="0.3"/>
    <row r="3" spans="1:11" ht="15.75" thickBot="1" x14ac:dyDescent="0.3">
      <c r="A3" s="126" t="s">
        <v>111</v>
      </c>
      <c r="B3" s="123"/>
      <c r="C3" s="127"/>
    </row>
    <row r="4" spans="1:11" x14ac:dyDescent="0.25">
      <c r="A4" s="89"/>
      <c r="B4" s="88" t="s">
        <v>112</v>
      </c>
      <c r="C4" s="90" t="s">
        <v>113</v>
      </c>
    </row>
    <row r="5" spans="1:11" x14ac:dyDescent="0.25">
      <c r="A5" s="91" t="s">
        <v>78</v>
      </c>
      <c r="B5" s="92">
        <v>-400000</v>
      </c>
      <c r="C5" s="93">
        <v>-400000</v>
      </c>
      <c r="E5" s="46"/>
    </row>
    <row r="6" spans="1:11" x14ac:dyDescent="0.25">
      <c r="A6" s="21" t="s">
        <v>79</v>
      </c>
      <c r="B6" s="94">
        <v>67000</v>
      </c>
      <c r="C6" s="95">
        <f>C5+B6</f>
        <v>-333000</v>
      </c>
    </row>
    <row r="7" spans="1:11" x14ac:dyDescent="0.25">
      <c r="A7" s="91" t="s">
        <v>80</v>
      </c>
      <c r="B7" s="92">
        <v>70000</v>
      </c>
      <c r="C7" s="93">
        <f t="shared" ref="C7:C14" si="0">C6+B7</f>
        <v>-263000</v>
      </c>
    </row>
    <row r="8" spans="1:11" x14ac:dyDescent="0.25">
      <c r="A8" s="21" t="s">
        <v>81</v>
      </c>
      <c r="B8" s="94">
        <v>75000</v>
      </c>
      <c r="C8" s="95">
        <f t="shared" si="0"/>
        <v>-188000</v>
      </c>
    </row>
    <row r="9" spans="1:11" x14ac:dyDescent="0.25">
      <c r="A9" s="91" t="s">
        <v>82</v>
      </c>
      <c r="B9" s="92">
        <v>80000</v>
      </c>
      <c r="C9" s="93">
        <f t="shared" si="0"/>
        <v>-108000</v>
      </c>
    </row>
    <row r="10" spans="1:11" x14ac:dyDescent="0.25">
      <c r="A10" s="21" t="s">
        <v>83</v>
      </c>
      <c r="B10" s="94">
        <v>85000</v>
      </c>
      <c r="C10" s="95">
        <f t="shared" si="0"/>
        <v>-23000</v>
      </c>
    </row>
    <row r="11" spans="1:11" x14ac:dyDescent="0.25">
      <c r="A11" s="91" t="s">
        <v>84</v>
      </c>
      <c r="B11" s="92">
        <v>85000</v>
      </c>
      <c r="C11" s="93">
        <f t="shared" si="0"/>
        <v>62000</v>
      </c>
    </row>
    <row r="12" spans="1:11" x14ac:dyDescent="0.25">
      <c r="A12" s="21" t="s">
        <v>85</v>
      </c>
      <c r="B12" s="94">
        <v>85000</v>
      </c>
      <c r="C12" s="95">
        <f t="shared" si="0"/>
        <v>147000</v>
      </c>
    </row>
    <row r="13" spans="1:11" x14ac:dyDescent="0.25">
      <c r="A13" s="91" t="s">
        <v>86</v>
      </c>
      <c r="B13" s="92">
        <v>85000</v>
      </c>
      <c r="C13" s="93">
        <f t="shared" si="0"/>
        <v>232000</v>
      </c>
    </row>
    <row r="14" spans="1:11" x14ac:dyDescent="0.25">
      <c r="A14" s="29" t="s">
        <v>87</v>
      </c>
      <c r="B14" s="96">
        <v>85000</v>
      </c>
      <c r="C14" s="97">
        <f t="shared" si="0"/>
        <v>317000</v>
      </c>
    </row>
    <row r="15" spans="1:11" ht="15.75" thickBot="1" x14ac:dyDescent="0.3"/>
    <row r="16" spans="1:11" ht="15.75" thickBot="1" x14ac:dyDescent="0.3">
      <c r="A16" s="126" t="s">
        <v>118</v>
      </c>
      <c r="B16" s="123"/>
    </row>
    <row r="17" spans="1:2" x14ac:dyDescent="0.25">
      <c r="A17" s="98" t="s">
        <v>114</v>
      </c>
      <c r="B17" s="99">
        <v>0.09</v>
      </c>
    </row>
    <row r="18" spans="1:2" x14ac:dyDescent="0.25">
      <c r="A18" s="21" t="s">
        <v>115</v>
      </c>
      <c r="B18" s="100">
        <f>NPV(B17,B5:B14)</f>
        <v>63479.875036290927</v>
      </c>
    </row>
    <row r="19" spans="1:2" x14ac:dyDescent="0.25">
      <c r="A19" s="91" t="s">
        <v>116</v>
      </c>
      <c r="B19" s="93">
        <f>B18+B5</f>
        <v>-336520.1249637091</v>
      </c>
    </row>
    <row r="20" spans="1:2" x14ac:dyDescent="0.25">
      <c r="A20" s="29" t="s">
        <v>117</v>
      </c>
      <c r="B20" s="101">
        <f>IRR(B5:B14)</f>
        <v>0.12905076306976349</v>
      </c>
    </row>
  </sheetData>
  <mergeCells count="2">
    <mergeCell ref="A3:C3"/>
    <mergeCell ref="A16:B16"/>
  </mergeCells>
  <dataValidations count="1">
    <dataValidation allowBlank="1" error="pavI8MeUFtEyxX2I4tkye13df6ab-c6a7-4963-8bd5-de587948fda7" sqref="A1:K20" xr:uid="{00000000-0002-0000-0800-000000000000}"/>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62"/>
  <sheetViews>
    <sheetView topLeftCell="A44" workbookViewId="0">
      <selection activeCell="M53" sqref="M53"/>
    </sheetView>
  </sheetViews>
  <sheetFormatPr defaultRowHeight="15" x14ac:dyDescent="0.25"/>
  <cols>
    <col min="1" max="1" width="10.85546875" bestFit="1" customWidth="1"/>
    <col min="2" max="2" width="16.85546875" bestFit="1" customWidth="1"/>
    <col min="3" max="4" width="12.7109375" bestFit="1" customWidth="1"/>
  </cols>
  <sheetData>
    <row r="1" spans="1:7" x14ac:dyDescent="0.25">
      <c r="A1" t="s">
        <v>119</v>
      </c>
      <c r="B1" t="s">
        <v>110</v>
      </c>
      <c r="C1" t="s">
        <v>109</v>
      </c>
    </row>
    <row r="2" spans="1:7" x14ac:dyDescent="0.25">
      <c r="A2" s="86">
        <v>44562</v>
      </c>
      <c r="B2" s="13">
        <v>1</v>
      </c>
      <c r="C2" s="87">
        <v>149443</v>
      </c>
      <c r="E2" s="85"/>
      <c r="F2" s="85"/>
    </row>
    <row r="3" spans="1:7" x14ac:dyDescent="0.25">
      <c r="A3" s="86">
        <v>44593</v>
      </c>
      <c r="B3" s="13">
        <v>2</v>
      </c>
      <c r="C3" s="87">
        <v>153967</v>
      </c>
      <c r="F3" s="85"/>
    </row>
    <row r="4" spans="1:7" x14ac:dyDescent="0.25">
      <c r="A4" s="86">
        <v>44621</v>
      </c>
      <c r="B4" s="13">
        <v>3</v>
      </c>
      <c r="C4" s="87">
        <v>154268</v>
      </c>
      <c r="F4" s="85"/>
    </row>
    <row r="5" spans="1:7" x14ac:dyDescent="0.25">
      <c r="A5" s="86">
        <v>44652</v>
      </c>
      <c r="B5" s="13">
        <v>4</v>
      </c>
      <c r="C5" s="87">
        <v>157665</v>
      </c>
      <c r="F5" s="85"/>
    </row>
    <row r="6" spans="1:7" x14ac:dyDescent="0.25">
      <c r="A6" s="86">
        <v>44682</v>
      </c>
      <c r="B6" s="13">
        <v>5</v>
      </c>
      <c r="C6" s="87">
        <v>158775</v>
      </c>
      <c r="F6" s="85"/>
    </row>
    <row r="7" spans="1:7" x14ac:dyDescent="0.25">
      <c r="A7" s="86">
        <v>44713</v>
      </c>
      <c r="B7" s="13">
        <v>6</v>
      </c>
      <c r="C7" s="87">
        <v>156834</v>
      </c>
      <c r="F7" s="85"/>
    </row>
    <row r="8" spans="1:7" x14ac:dyDescent="0.25">
      <c r="A8" s="86">
        <v>44743</v>
      </c>
      <c r="B8" s="13">
        <v>7</v>
      </c>
      <c r="C8" s="87">
        <v>151995</v>
      </c>
      <c r="F8" s="85"/>
    </row>
    <row r="9" spans="1:7" x14ac:dyDescent="0.25">
      <c r="A9" s="86">
        <v>44774</v>
      </c>
      <c r="B9" s="13">
        <v>8</v>
      </c>
      <c r="C9" s="87">
        <v>156935</v>
      </c>
      <c r="F9" s="85"/>
    </row>
    <row r="10" spans="1:7" x14ac:dyDescent="0.25">
      <c r="A10" s="86">
        <v>44805</v>
      </c>
      <c r="B10" s="13">
        <v>9</v>
      </c>
      <c r="C10" s="87">
        <v>158021</v>
      </c>
      <c r="F10" s="85"/>
    </row>
    <row r="11" spans="1:7" x14ac:dyDescent="0.25">
      <c r="A11" s="86">
        <v>44835</v>
      </c>
      <c r="B11" s="13">
        <v>10</v>
      </c>
      <c r="C11" s="87">
        <v>158566</v>
      </c>
      <c r="F11" s="85"/>
    </row>
    <row r="12" spans="1:7" x14ac:dyDescent="0.25">
      <c r="A12" s="86">
        <v>44866</v>
      </c>
      <c r="B12" s="13">
        <v>11</v>
      </c>
      <c r="C12" s="87">
        <v>158775</v>
      </c>
      <c r="F12" s="85"/>
    </row>
    <row r="13" spans="1:7" x14ac:dyDescent="0.25">
      <c r="A13" s="86">
        <v>44896</v>
      </c>
      <c r="B13" s="13">
        <v>12</v>
      </c>
      <c r="C13" s="87">
        <v>158756</v>
      </c>
      <c r="F13" s="85"/>
    </row>
    <row r="14" spans="1:7" x14ac:dyDescent="0.25">
      <c r="A14" s="86">
        <v>44927</v>
      </c>
      <c r="B14" s="13">
        <v>13</v>
      </c>
      <c r="C14" s="87">
        <v>156012</v>
      </c>
      <c r="F14" s="85"/>
      <c r="G14" s="85"/>
    </row>
    <row r="15" spans="1:7" x14ac:dyDescent="0.25">
      <c r="A15" s="86">
        <v>44958</v>
      </c>
      <c r="B15" s="13">
        <v>14</v>
      </c>
      <c r="C15" s="87">
        <v>157345</v>
      </c>
      <c r="F15" s="85"/>
    </row>
    <row r="16" spans="1:7" x14ac:dyDescent="0.25">
      <c r="A16" s="86">
        <v>44986</v>
      </c>
      <c r="B16" s="13">
        <v>15</v>
      </c>
      <c r="C16" s="87">
        <v>159552</v>
      </c>
      <c r="F16" s="85"/>
    </row>
    <row r="17" spans="1:6" x14ac:dyDescent="0.25">
      <c r="A17" s="86">
        <v>45017</v>
      </c>
      <c r="B17" s="13">
        <v>16</v>
      </c>
      <c r="C17" s="87">
        <v>160207</v>
      </c>
      <c r="F17" s="85"/>
    </row>
    <row r="18" spans="1:6" x14ac:dyDescent="0.25">
      <c r="A18" s="86">
        <v>45047</v>
      </c>
      <c r="B18" s="13">
        <v>17</v>
      </c>
      <c r="C18" s="87">
        <v>160113</v>
      </c>
      <c r="F18" s="85"/>
    </row>
    <row r="19" spans="1:6" x14ac:dyDescent="0.25">
      <c r="A19" s="86">
        <v>45078</v>
      </c>
      <c r="B19" s="13">
        <v>18</v>
      </c>
      <c r="C19" s="87">
        <v>159765</v>
      </c>
      <c r="F19" s="85"/>
    </row>
    <row r="20" spans="1:6" x14ac:dyDescent="0.25">
      <c r="A20" s="86">
        <v>45108</v>
      </c>
      <c r="B20" s="13">
        <v>19</v>
      </c>
      <c r="C20" s="87">
        <v>150599</v>
      </c>
      <c r="F20" s="85"/>
    </row>
    <row r="21" spans="1:6" x14ac:dyDescent="0.25">
      <c r="A21" s="86">
        <v>45139</v>
      </c>
      <c r="B21" s="13">
        <v>20</v>
      </c>
      <c r="C21" s="87">
        <v>160215</v>
      </c>
      <c r="F21" s="85"/>
    </row>
    <row r="22" spans="1:6" x14ac:dyDescent="0.25">
      <c r="A22" s="86">
        <v>45170</v>
      </c>
      <c r="B22" s="13">
        <v>21</v>
      </c>
      <c r="C22" s="87">
        <v>161750</v>
      </c>
      <c r="F22" s="85"/>
    </row>
    <row r="23" spans="1:6" x14ac:dyDescent="0.25">
      <c r="A23" s="86">
        <v>45200</v>
      </c>
      <c r="B23" s="13">
        <v>22</v>
      </c>
      <c r="C23" s="87">
        <v>162154</v>
      </c>
      <c r="F23" s="85"/>
    </row>
    <row r="24" spans="1:6" x14ac:dyDescent="0.25">
      <c r="A24" s="86">
        <v>45231</v>
      </c>
      <c r="B24" s="13">
        <v>23</v>
      </c>
      <c r="C24" s="87">
        <v>160205</v>
      </c>
      <c r="F24" s="85"/>
    </row>
    <row r="25" spans="1:6" x14ac:dyDescent="0.25">
      <c r="A25" s="86">
        <v>45261</v>
      </c>
      <c r="B25" s="13">
        <v>24</v>
      </c>
      <c r="C25" s="87">
        <v>160450</v>
      </c>
      <c r="F25" s="85"/>
    </row>
    <row r="26" spans="1:6" x14ac:dyDescent="0.25">
      <c r="A26" s="86">
        <v>45292</v>
      </c>
      <c r="B26" s="13">
        <v>25</v>
      </c>
      <c r="C26" s="85">
        <v>161599</v>
      </c>
      <c r="E26" s="85"/>
      <c r="F26" s="85"/>
    </row>
    <row r="27" spans="1:6" x14ac:dyDescent="0.25">
      <c r="A27" s="86">
        <v>45323</v>
      </c>
      <c r="B27" s="13">
        <v>26</v>
      </c>
      <c r="C27" s="85">
        <v>162702</v>
      </c>
      <c r="F27" s="85"/>
    </row>
    <row r="28" spans="1:6" x14ac:dyDescent="0.25">
      <c r="A28" s="86">
        <v>45352</v>
      </c>
      <c r="B28" s="13">
        <v>27</v>
      </c>
      <c r="C28" s="85">
        <v>162998</v>
      </c>
      <c r="F28" s="85"/>
    </row>
    <row r="29" spans="1:6" x14ac:dyDescent="0.25">
      <c r="A29" s="86">
        <v>45383</v>
      </c>
      <c r="B29" s="13">
        <v>28</v>
      </c>
      <c r="C29" s="85">
        <v>160012</v>
      </c>
      <c r="F29" s="85"/>
    </row>
    <row r="30" spans="1:6" x14ac:dyDescent="0.25">
      <c r="A30" s="86">
        <v>45413</v>
      </c>
      <c r="B30" s="13">
        <v>29</v>
      </c>
      <c r="C30" s="85">
        <v>164175</v>
      </c>
      <c r="F30" s="85"/>
    </row>
    <row r="31" spans="1:6" x14ac:dyDescent="0.25">
      <c r="A31" s="86">
        <v>45444</v>
      </c>
      <c r="B31" s="13">
        <v>30</v>
      </c>
      <c r="C31" s="85">
        <v>164998</v>
      </c>
      <c r="F31" s="85"/>
    </row>
    <row r="32" spans="1:6" x14ac:dyDescent="0.25">
      <c r="A32" s="86">
        <v>45474</v>
      </c>
      <c r="B32" s="13">
        <v>31</v>
      </c>
      <c r="C32" s="85">
        <v>164765</v>
      </c>
      <c r="F32" s="85"/>
    </row>
    <row r="33" spans="1:6" x14ac:dyDescent="0.25">
      <c r="A33" s="86">
        <v>45505</v>
      </c>
      <c r="B33" s="13">
        <v>32</v>
      </c>
      <c r="C33" s="85">
        <v>161248</v>
      </c>
      <c r="F33" s="85"/>
    </row>
    <row r="34" spans="1:6" x14ac:dyDescent="0.25">
      <c r="A34" s="86">
        <v>45536</v>
      </c>
      <c r="B34" s="13">
        <v>33</v>
      </c>
      <c r="C34" s="85">
        <v>165060</v>
      </c>
      <c r="F34" s="85"/>
    </row>
    <row r="35" spans="1:6" x14ac:dyDescent="0.25">
      <c r="A35" s="86">
        <v>45566</v>
      </c>
      <c r="B35" s="13">
        <v>34</v>
      </c>
      <c r="C35" s="85">
        <v>165621</v>
      </c>
      <c r="F35" s="85"/>
    </row>
    <row r="36" spans="1:6" x14ac:dyDescent="0.25">
      <c r="A36" s="86">
        <v>45597</v>
      </c>
      <c r="B36" s="13">
        <v>35</v>
      </c>
      <c r="C36" s="85">
        <v>165987</v>
      </c>
      <c r="F36" s="85"/>
    </row>
    <row r="37" spans="1:6" x14ac:dyDescent="0.25">
      <c r="A37" s="86">
        <v>45627</v>
      </c>
      <c r="B37" s="13">
        <v>36</v>
      </c>
      <c r="C37" s="85">
        <v>169958</v>
      </c>
      <c r="F37" s="85"/>
    </row>
    <row r="38" spans="1:6" x14ac:dyDescent="0.25">
      <c r="A38" s="86">
        <v>45658</v>
      </c>
      <c r="B38" s="13">
        <v>37</v>
      </c>
      <c r="C38" s="85">
        <v>168155</v>
      </c>
      <c r="D38" s="87"/>
      <c r="F38" s="85"/>
    </row>
    <row r="39" spans="1:6" x14ac:dyDescent="0.25">
      <c r="A39" s="86">
        <v>45689</v>
      </c>
      <c r="B39" s="13">
        <v>38</v>
      </c>
      <c r="C39" s="85">
        <v>168014</v>
      </c>
      <c r="F39" s="85"/>
    </row>
    <row r="40" spans="1:6" x14ac:dyDescent="0.25">
      <c r="A40" s="86">
        <v>45717</v>
      </c>
      <c r="B40" s="13">
        <v>39</v>
      </c>
      <c r="C40" s="85">
        <v>169109</v>
      </c>
      <c r="F40" s="85"/>
    </row>
    <row r="41" spans="1:6" x14ac:dyDescent="0.25">
      <c r="A41" s="86">
        <v>45748</v>
      </c>
      <c r="B41" s="13">
        <v>40</v>
      </c>
      <c r="C41" s="85">
        <v>169121</v>
      </c>
      <c r="F41" s="85"/>
    </row>
    <row r="42" spans="1:6" x14ac:dyDescent="0.25">
      <c r="A42" s="86">
        <v>45778</v>
      </c>
      <c r="B42" s="13">
        <v>41</v>
      </c>
      <c r="C42" s="85">
        <v>169342</v>
      </c>
      <c r="F42" s="85"/>
    </row>
    <row r="43" spans="1:6" x14ac:dyDescent="0.25">
      <c r="A43" s="86">
        <v>45809</v>
      </c>
      <c r="B43" s="13">
        <v>42</v>
      </c>
      <c r="C43" s="85">
        <v>165695</v>
      </c>
      <c r="F43" s="85"/>
    </row>
    <row r="44" spans="1:6" x14ac:dyDescent="0.25">
      <c r="A44" s="86">
        <v>45839</v>
      </c>
      <c r="B44" s="13">
        <v>43</v>
      </c>
      <c r="C44" s="85">
        <v>164992</v>
      </c>
      <c r="F44" s="85"/>
    </row>
    <row r="45" spans="1:6" x14ac:dyDescent="0.25">
      <c r="A45" s="86">
        <v>45870</v>
      </c>
      <c r="B45" s="13">
        <v>44</v>
      </c>
      <c r="C45" s="85">
        <v>167622</v>
      </c>
      <c r="F45" s="85"/>
    </row>
    <row r="46" spans="1:6" x14ac:dyDescent="0.25">
      <c r="A46" s="86">
        <v>45901</v>
      </c>
      <c r="B46" s="13">
        <v>45</v>
      </c>
      <c r="C46" s="85">
        <v>168252</v>
      </c>
      <c r="F46" s="85"/>
    </row>
    <row r="47" spans="1:6" x14ac:dyDescent="0.25">
      <c r="A47" s="86">
        <v>45931</v>
      </c>
      <c r="B47" s="13">
        <v>46</v>
      </c>
      <c r="C47" s="85">
        <v>169013</v>
      </c>
      <c r="F47" s="85"/>
    </row>
    <row r="48" spans="1:6" x14ac:dyDescent="0.25">
      <c r="A48" s="86">
        <v>45962</v>
      </c>
      <c r="B48" s="13">
        <v>47</v>
      </c>
      <c r="C48" s="85">
        <v>169211</v>
      </c>
      <c r="F48" s="85"/>
    </row>
    <row r="49" spans="1:6" x14ac:dyDescent="0.25">
      <c r="A49" s="86">
        <v>45992</v>
      </c>
      <c r="B49" s="13">
        <v>48</v>
      </c>
      <c r="C49" s="85">
        <v>170001</v>
      </c>
      <c r="F49" s="85"/>
    </row>
    <row r="50" spans="1:6" x14ac:dyDescent="0.25">
      <c r="A50" s="86">
        <v>46023</v>
      </c>
      <c r="B50" s="13">
        <v>49</v>
      </c>
      <c r="C50" s="85">
        <v>170225</v>
      </c>
      <c r="F50" s="85"/>
    </row>
    <row r="51" spans="1:6" x14ac:dyDescent="0.25">
      <c r="A51" s="86">
        <v>46054</v>
      </c>
      <c r="B51" s="13">
        <v>50</v>
      </c>
      <c r="C51" s="85">
        <v>170100</v>
      </c>
      <c r="F51" s="85"/>
    </row>
    <row r="52" spans="1:6" x14ac:dyDescent="0.25">
      <c r="A52" s="86">
        <v>46082</v>
      </c>
      <c r="B52" s="13">
        <v>51</v>
      </c>
      <c r="C52" s="85">
        <v>171225</v>
      </c>
      <c r="F52" s="85"/>
    </row>
    <row r="53" spans="1:6" x14ac:dyDescent="0.25">
      <c r="A53" s="86">
        <v>46113</v>
      </c>
      <c r="B53" s="13">
        <v>52</v>
      </c>
      <c r="C53" s="85">
        <v>170026</v>
      </c>
      <c r="F53" s="85"/>
    </row>
    <row r="54" spans="1:6" x14ac:dyDescent="0.25">
      <c r="A54" s="86">
        <v>46143</v>
      </c>
      <c r="B54" s="13">
        <v>53</v>
      </c>
      <c r="C54" s="85">
        <v>171245</v>
      </c>
      <c r="F54" s="85"/>
    </row>
    <row r="55" spans="1:6" x14ac:dyDescent="0.25">
      <c r="A55" s="86">
        <v>46174</v>
      </c>
      <c r="B55" s="13">
        <v>54</v>
      </c>
      <c r="C55" s="85">
        <v>170875</v>
      </c>
      <c r="F55" s="85"/>
    </row>
    <row r="56" spans="1:6" x14ac:dyDescent="0.25">
      <c r="A56" s="86">
        <v>46204</v>
      </c>
      <c r="B56" s="13">
        <v>55</v>
      </c>
      <c r="C56" s="85">
        <v>169765</v>
      </c>
      <c r="F56" s="85"/>
    </row>
    <row r="57" spans="1:6" x14ac:dyDescent="0.25">
      <c r="A57" s="86">
        <v>46235</v>
      </c>
      <c r="B57" s="13">
        <v>56</v>
      </c>
      <c r="C57" s="85">
        <v>171232</v>
      </c>
      <c r="F57" s="85"/>
    </row>
    <row r="58" spans="1:6" x14ac:dyDescent="0.25">
      <c r="A58" s="86">
        <v>46266</v>
      </c>
      <c r="B58" s="13">
        <v>57</v>
      </c>
      <c r="C58" s="85">
        <v>173012</v>
      </c>
      <c r="F58" s="85"/>
    </row>
    <row r="59" spans="1:6" x14ac:dyDescent="0.25">
      <c r="A59" s="86">
        <v>46296</v>
      </c>
      <c r="B59" s="13">
        <v>58</v>
      </c>
      <c r="C59" s="85">
        <v>173187</v>
      </c>
      <c r="F59" s="85"/>
    </row>
    <row r="60" spans="1:6" x14ac:dyDescent="0.25">
      <c r="A60" s="86">
        <v>46327</v>
      </c>
      <c r="B60" s="13">
        <v>59</v>
      </c>
      <c r="C60" s="85">
        <v>174675</v>
      </c>
      <c r="F60" s="85"/>
    </row>
    <row r="61" spans="1:6" x14ac:dyDescent="0.25">
      <c r="A61" s="86">
        <v>46357</v>
      </c>
      <c r="B61" s="13">
        <v>60</v>
      </c>
      <c r="C61" s="85">
        <v>173412</v>
      </c>
      <c r="F61" s="85"/>
    </row>
    <row r="62" spans="1:6" x14ac:dyDescent="0.25">
      <c r="C62" s="85"/>
      <c r="D62" s="85"/>
    </row>
  </sheetData>
  <dataValidations count="1">
    <dataValidation allowBlank="1" error="pavI8MeUFtEyxX2I4tkye13df6ab-c6a7-4963-8bd5-de587948fda7" sqref="A1:G62" xr:uid="{00000000-0002-0000-0900-000000000000}"/>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xml version="1.0" encoding="utf-8"?>
<GradingEngineProps xmlns="http://tempuri.org/temp">
  <UserID>{e13df6ab-c6a7-4963-8bd5-de587948fda7}</UserID>
  <AssignmentID>{e13df6ab-c6a7-4963-8bd5-de587948fda7}</AssignmentID>
</GradingEngineProps>
</file>

<file path=customXml/item18.xml>�� 
</file>

<file path=customXml/item19.xml>�� 
</file>

<file path=customXml/itemProps1.xml><?xml version="1.0" encoding="utf-8"?>
<ds:datastoreItem xmlns:ds="http://schemas.openxmlformats.org/officeDocument/2006/customXml" ds:itemID="{AFF35AE9-3E00-4584-BFE1-0683DB824360}">
  <ds:schemaRefs>
    <ds:schemaRef ds:uri="http://schemas.microsoft.com/DataMashup"/>
  </ds:schemaRefs>
</ds:datastoreItem>
</file>

<file path=customXml/itemProps2.xml><?xml version="1.0" encoding="utf-8"?>
<ds:datastoreItem xmlns:ds="http://schemas.openxmlformats.org/officeDocument/2006/customXml" ds:itemID="{9A16BCB0-8EB5-423D-ADB6-5A263B34F15D}">
  <ds:schemaRefs/>
</ds:datastoreItem>
</file>

<file path=customXml/itemProps3.xml><?xml version="1.0" encoding="utf-8"?>
<ds:datastoreItem xmlns:ds="http://schemas.openxmlformats.org/officeDocument/2006/customXml" ds:itemID="{2B06F59E-C60E-4225-81B3-1D0932D5952B}">
  <ds:schemaRefs/>
</ds:datastoreItem>
</file>

<file path=customXml/itemProps4.xml><?xml version="1.0" encoding="utf-8"?>
<ds:datastoreItem xmlns:ds="http://schemas.openxmlformats.org/officeDocument/2006/customXml" ds:itemID="{082DCFFF-3F21-4E51-AB1A-80F5AC0A66E2}">
  <ds:schemaRefs/>
</ds:datastoreItem>
</file>

<file path=customXml/itemProps5.xml><?xml version="1.0" encoding="utf-8"?>
<ds:datastoreItem xmlns:ds="http://schemas.openxmlformats.org/officeDocument/2006/customXml" ds:itemID="{2B1073B8-51AF-4B87-ADDD-4E12A776E5A7}">
  <ds:schemaRefs/>
</ds:datastoreItem>
</file>

<file path=customXml/itemProps6.xml><?xml version="1.0" encoding="utf-8"?>
<ds:datastoreItem xmlns:ds="http://schemas.openxmlformats.org/officeDocument/2006/customXml" ds:itemID="{1894E1A9-78FE-48A6-9F17-B5E2DA98657C}">
  <ds:schemaRefs/>
</ds:datastoreItem>
</file>

<file path=customXml/itemProps7.xml><?xml version="1.0" encoding="utf-8"?>
<ds:datastoreItem xmlns:ds="http://schemas.openxmlformats.org/officeDocument/2006/customXml" ds:itemID="{8582A9E9-D1C3-4079-9A5D-3E134302DB93}">
  <ds:schemaRefs/>
</ds:datastoreItem>
</file>

<file path=customXml/itemProps8.xml><?xml version="1.0" encoding="utf-8"?>
<ds:datastoreItem xmlns:ds="http://schemas.openxmlformats.org/officeDocument/2006/customXml" ds:itemID="{B666B0B2-44A3-4E0E-A868-12F1A718D131}">
  <ds:schemaRefs/>
</ds:datastoreItem>
</file>

<file path=customXml/itemProps9.xml><?xml version="1.0" encoding="utf-8"?>
<ds:datastoreItem xmlns:ds="http://schemas.openxmlformats.org/officeDocument/2006/customXml" ds:itemID="{34EAD132-B0E2-4263-958E-35298399C499}">
  <ds:schemaRefs/>
</ds:datastoreItem>
</file>

<file path=customXml/itemProps10.xml><?xml version="1.0" encoding="utf-8"?>
<ds:datastoreItem xmlns:ds="http://schemas.openxmlformats.org/officeDocument/2006/customXml" ds:itemID="{7D386CC8-A770-48B2-AFA1-FBFDFE4EF2ED}">
  <ds:schemaRefs/>
</ds:datastoreItem>
</file>

<file path=customXml/itemProps11.xml><?xml version="1.0" encoding="utf-8"?>
<ds:datastoreItem xmlns:ds="http://schemas.openxmlformats.org/officeDocument/2006/customXml" ds:itemID="{A6D82D6B-27E9-4519-B7BA-CCB3FDE82EAC}">
  <ds:schemaRefs/>
</ds:datastoreItem>
</file>

<file path=customXml/itemProps12.xml><?xml version="1.0" encoding="utf-8"?>
<ds:datastoreItem xmlns:ds="http://schemas.openxmlformats.org/officeDocument/2006/customXml" ds:itemID="{ECB80F8A-6DEC-4A1D-A904-49E59846744E}">
  <ds:schemaRefs/>
</ds:datastoreItem>
</file>

<file path=customXml/itemProps13.xml><?xml version="1.0" encoding="utf-8"?>
<ds:datastoreItem xmlns:ds="http://schemas.openxmlformats.org/officeDocument/2006/customXml" ds:itemID="{8611C528-CB45-4EC0-815F-CC0150D8E43D}">
  <ds:schemaRefs/>
</ds:datastoreItem>
</file>

<file path=customXml/itemProps14.xml><?xml version="1.0" encoding="utf-8"?>
<ds:datastoreItem xmlns:ds="http://schemas.openxmlformats.org/officeDocument/2006/customXml" ds:itemID="{0BB0331B-02EB-47E8-8056-B02EFB407AA4}">
  <ds:schemaRefs/>
</ds:datastoreItem>
</file>

<file path=customXml/itemProps15.xml><?xml version="1.0" encoding="utf-8"?>
<ds:datastoreItem xmlns:ds="http://schemas.openxmlformats.org/officeDocument/2006/customXml" ds:itemID="{9CE7E5A5-9B2A-4540-8C0F-480A97D8910C}">
  <ds:schemaRefs/>
</ds:datastoreItem>
</file>

<file path=customXml/itemProps16.xml><?xml version="1.0" encoding="utf-8"?>
<ds:datastoreItem xmlns:ds="http://schemas.openxmlformats.org/officeDocument/2006/customXml" ds:itemID="{FD6F3DBB-8178-4528-B407-D589B0A2D309}">
  <ds:schemaRefs/>
</ds:datastoreItem>
</file>

<file path=customXml/itemProps17.xml><?xml version="1.0" encoding="utf-8"?>
<ds:datastoreItem xmlns:ds="http://schemas.openxmlformats.org/officeDocument/2006/customXml" ds:itemID="{CDE7FD21-F1B4-4EBE-AF08-AD934D3EC9FC}">
  <ds:schemaRefs>
    <ds:schemaRef ds:uri="http://tempuri.org/temp"/>
  </ds:schemaRefs>
</ds:datastoreItem>
</file>

<file path=customXml/itemProps18.xml><?xml version="1.0" encoding="utf-8"?>
<ds:datastoreItem xmlns:ds="http://schemas.openxmlformats.org/officeDocument/2006/customXml" ds:itemID="{6AD49417-4EF1-4AED-BC36-0DB41D06788A}">
  <ds:schemaRefs/>
</ds:datastoreItem>
</file>

<file path=customXml/itemProps19.xml><?xml version="1.0" encoding="utf-8"?>
<ds:datastoreItem xmlns:ds="http://schemas.openxmlformats.org/officeDocument/2006/customXml" ds:itemID="{E1F20726-2F85-400A-BCF6-331C44EBC08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Documentation</vt:lpstr>
      <vt:lpstr>Projects</vt:lpstr>
      <vt:lpstr>Project Stats</vt:lpstr>
      <vt:lpstr>Projects by State</vt:lpstr>
      <vt:lpstr>Project Payments</vt:lpstr>
      <vt:lpstr>Projects by Category</vt:lpstr>
      <vt:lpstr>Monthly Sales</vt:lpstr>
      <vt:lpstr>Employees</vt:lpstr>
      <vt:lpstr>Expansion Loan</vt:lpstr>
      <vt:lpstr>Investments &amp; Projections</vt:lpstr>
      <vt:lpstr>Monthly Revenue Projections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Your Name</dc:creator>
  <cp:keywords>© 2020 Cengage Learning.</cp:keywords>
  <cp:lastModifiedBy>Steven</cp:lastModifiedBy>
  <dcterms:created xsi:type="dcterms:W3CDTF">2019-09-12T17:48:37Z</dcterms:created>
  <dcterms:modified xsi:type="dcterms:W3CDTF">2022-07-26T16:45:24Z</dcterms:modified>
</cp:coreProperties>
</file>